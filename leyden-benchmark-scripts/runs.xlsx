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.Dinant/Documents/repositories/private/onliner-summit-2025/spring-petclinic-leyden/leyden-benchmark-scripts/"/>
    </mc:Choice>
  </mc:AlternateContent>
  <xr:revisionPtr revIDLastSave="0" documentId="13_ncr:1_{57605B07-033A-9141-A62D-BC0DBA4099A7}" xr6:coauthVersionLast="47" xr6:coauthVersionMax="47" xr10:uidLastSave="{00000000-0000-0000-0000-000000000000}"/>
  <bookViews>
    <workbookView xWindow="24180" yWindow="2900" windowWidth="38740" windowHeight="21180" activeTab="1" xr2:uid="{3833D82E-8D20-5846-B5D6-23A8094A4540}"/>
  </bookViews>
  <sheets>
    <sheet name="leyden-playground extracted" sheetId="3" r:id="rId1"/>
    <sheet name="leyden-playground fat-ja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4" l="1"/>
  <c r="F108" i="4"/>
  <c r="C108" i="4"/>
  <c r="B108" i="4"/>
  <c r="G107" i="4"/>
  <c r="F107" i="4"/>
  <c r="M3" i="4" s="1"/>
  <c r="C107" i="4"/>
  <c r="B107" i="4"/>
  <c r="L3" i="4" s="1"/>
  <c r="K108" i="4"/>
  <c r="J108" i="4"/>
  <c r="K107" i="4"/>
  <c r="J107" i="4"/>
  <c r="G108" i="3"/>
  <c r="F108" i="3"/>
  <c r="C108" i="3"/>
  <c r="B108" i="3"/>
  <c r="G107" i="3"/>
  <c r="F107" i="3"/>
  <c r="M3" i="3" s="1"/>
  <c r="C107" i="3"/>
  <c r="B107" i="3"/>
  <c r="L3" i="3" s="1"/>
  <c r="K108" i="3"/>
  <c r="J108" i="3"/>
  <c r="K107" i="3"/>
  <c r="J107" i="3"/>
  <c r="N5" i="3" l="1"/>
  <c r="N3" i="3"/>
  <c r="N5" i="4"/>
  <c r="N3" i="4"/>
</calcChain>
</file>

<file path=xl/sharedStrings.xml><?xml version="1.0" encoding="utf-8"?>
<sst xmlns="http://schemas.openxmlformats.org/spreadsheetml/2006/main" count="54" uniqueCount="13">
  <si>
    <t>iteration</t>
  </si>
  <si>
    <t>startup_seconds</t>
  </si>
  <si>
    <t>process_running_seconds</t>
  </si>
  <si>
    <t>Average</t>
  </si>
  <si>
    <t>Median</t>
  </si>
  <si>
    <t>responses</t>
  </si>
  <si>
    <t>no_cache</t>
  </si>
  <si>
    <t>cache</t>
  </si>
  <si>
    <t>startup_time</t>
  </si>
  <si>
    <t>avg gain</t>
  </si>
  <si>
    <t>iteration,startup_seconds,process_running_seconds</t>
  </si>
  <si>
    <t>(higher is better)</t>
  </si>
  <si>
    <t>(lower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</si>
</sst>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704-6540-B705-9FEEBA5524A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4-6540-B705-9FEEBA5524AA}"/>
                </c:ext>
              </c:extLst>
            </c:dLbl>
            <c:dLbl>
              <c:idx val="1"/>
              <c:layout>
                <c:manualLayout>
                  <c:x val="0"/>
                  <c:y val="-0.398148148148148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13.92%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1A4-2E4C-9227-1A905B3054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'leyden-playground extracted'!$J$1:$K$2</c:f>
              <c:multiLvlStrCache>
                <c:ptCount val="2"/>
                <c:lvl>
                  <c:pt idx="0">
                    <c:v>responses</c:v>
                  </c:pt>
                  <c:pt idx="1">
                    <c:v>responses</c:v>
                  </c:pt>
                </c:lvl>
                <c:lvl>
                  <c:pt idx="0">
                    <c:v>no_cache</c:v>
                  </c:pt>
                  <c:pt idx="1">
                    <c:v>cache</c:v>
                  </c:pt>
                </c:lvl>
              </c:multiLvlStrCache>
            </c:multiLvlStrRef>
          </c:cat>
          <c:val>
            <c:numRef>
              <c:f>'leyden-playground extracted'!$J$107:$K$107</c:f>
              <c:numCache>
                <c:formatCode>General</c:formatCode>
                <c:ptCount val="2"/>
                <c:pt idx="0">
                  <c:v>15688.8</c:v>
                </c:pt>
                <c:pt idx="1">
                  <c:v>17872.8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4-6540-B705-9FEEBA5524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2849920"/>
        <c:axId val="512109504"/>
      </c:barChart>
      <c:valAx>
        <c:axId val="512109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82849920"/>
        <c:crosses val="autoZero"/>
        <c:crossBetween val="between"/>
      </c:valAx>
      <c:catAx>
        <c:axId val="4828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1210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BA-3346-9B83-F54F4552E7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BA-3346-9B83-F54F4552E7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-61.52%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57D-6742-929F-A2FEFD85F7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'leyden-playground extracted'!$L$1:$M$2</c:f>
              <c:multiLvlStrCache>
                <c:ptCount val="2"/>
                <c:lvl>
                  <c:pt idx="0">
                    <c:v>startup_time</c:v>
                  </c:pt>
                  <c:pt idx="1">
                    <c:v>startup_time</c:v>
                  </c:pt>
                </c:lvl>
                <c:lvl>
                  <c:pt idx="0">
                    <c:v>no_cache</c:v>
                  </c:pt>
                  <c:pt idx="1">
                    <c:v>cache</c:v>
                  </c:pt>
                </c:lvl>
              </c:multiLvlStrCache>
            </c:multiLvlStrRef>
          </c:cat>
          <c:val>
            <c:numRef>
              <c:f>'leyden-playground extracted'!$L$3:$M$3</c:f>
              <c:numCache>
                <c:formatCode>General</c:formatCode>
                <c:ptCount val="2"/>
                <c:pt idx="0">
                  <c:v>2.6341600000000001</c:v>
                </c:pt>
                <c:pt idx="1">
                  <c:v>1.0131200000000002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BA-3346-9B83-F54F4552E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8125504"/>
        <c:axId val="1818118336"/>
      </c:barChart>
      <c:catAx>
        <c:axId val="18181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8118336"/>
        <c:crosses val="autoZero"/>
        <c:auto val="1"/>
        <c:lblAlgn val="ctr"/>
        <c:lblOffset val="100"/>
        <c:noMultiLvlLbl val="0"/>
      </c:catAx>
      <c:valAx>
        <c:axId val="18181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812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01-BB45-8DF0-4D5CD84ACEE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01-BB45-8DF0-4D5CD84ACEE9}"/>
                </c:ext>
              </c:extLst>
            </c:dLbl>
            <c:dLbl>
              <c:idx val="1"/>
              <c:layout>
                <c:manualLayout>
                  <c:x val="-8.3333333333333332E-3"/>
                  <c:y val="-0.398148148148148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1.98%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760-3347-BB08-B186A3A3B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'leyden-playground fat-jar'!$J$1:$K$2</c:f>
              <c:multiLvlStrCache>
                <c:ptCount val="2"/>
                <c:lvl>
                  <c:pt idx="0">
                    <c:v>responses</c:v>
                  </c:pt>
                  <c:pt idx="1">
                    <c:v>responses</c:v>
                  </c:pt>
                </c:lvl>
                <c:lvl>
                  <c:pt idx="0">
                    <c:v>no_cache</c:v>
                  </c:pt>
                  <c:pt idx="1">
                    <c:v>cache</c:v>
                  </c:pt>
                </c:lvl>
              </c:multiLvlStrCache>
            </c:multiLvlStrRef>
          </c:cat>
          <c:val>
            <c:numRef>
              <c:f>'leyden-playground fat-jar'!$J$107:$K$107</c:f>
              <c:numCache>
                <c:formatCode>General</c:formatCode>
                <c:ptCount val="2"/>
                <c:pt idx="0">
                  <c:v>5463.3</c:v>
                </c:pt>
                <c:pt idx="1">
                  <c:v>5571.6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1-BB45-8DF0-4D5CD84AC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2849920"/>
        <c:axId val="512109504"/>
      </c:barChart>
      <c:valAx>
        <c:axId val="512109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82849920"/>
        <c:crosses val="autoZero"/>
        <c:crossBetween val="between"/>
      </c:valAx>
      <c:catAx>
        <c:axId val="4828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12109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83-6943-B615-9A95A555288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83-6943-B615-9A95A55528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-34.87%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E9F-C54F-9EE6-93E5C61CE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'leyden-playground fat-jar'!$L$1:$M$2</c:f>
              <c:multiLvlStrCache>
                <c:ptCount val="2"/>
                <c:lvl>
                  <c:pt idx="0">
                    <c:v>startup_time</c:v>
                  </c:pt>
                  <c:pt idx="1">
                    <c:v>startup_time</c:v>
                  </c:pt>
                </c:lvl>
                <c:lvl>
                  <c:pt idx="0">
                    <c:v>no_cache</c:v>
                  </c:pt>
                  <c:pt idx="1">
                    <c:v>cache</c:v>
                  </c:pt>
                </c:lvl>
              </c:multiLvlStrCache>
            </c:multiLvlStrRef>
          </c:cat>
          <c:val>
            <c:numRef>
              <c:f>'leyden-playground fat-jar'!$L$3:$M$3</c:f>
              <c:numCache>
                <c:formatCode>General</c:formatCode>
                <c:ptCount val="2"/>
                <c:pt idx="0">
                  <c:v>3.1915899999999993</c:v>
                </c:pt>
                <c:pt idx="1">
                  <c:v>2.0787499999999999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3-6943-B615-9A95A555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8125504"/>
        <c:axId val="1818118336"/>
      </c:barChart>
      <c:catAx>
        <c:axId val="18181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8118336"/>
        <c:crosses val="autoZero"/>
        <c:auto val="1"/>
        <c:lblAlgn val="ctr"/>
        <c:lblOffset val="100"/>
        <c:noMultiLvlLbl val="0"/>
      </c:catAx>
      <c:valAx>
        <c:axId val="18181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812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355600</xdr:colOff>
      <xdr:row>14</xdr:row>
      <xdr:rowOff>107950</xdr:rowOff>
    </xdr:from>
    <xdr:to>
      <xdr:col>18</xdr:col>
      <xdr:colOff>800100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17D75-6D95-1B4A-8F9D-111802D29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349250</xdr:colOff>
      <xdr:row>28</xdr:row>
      <xdr:rowOff>184150</xdr:rowOff>
    </xdr:from>
    <xdr:to>
      <xdr:col>18</xdr:col>
      <xdr:colOff>793750</xdr:colOff>
      <xdr:row>42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EBA9C-A7FA-CE4E-B059-2322775BB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355600</xdr:colOff>
      <xdr:row>14</xdr:row>
      <xdr:rowOff>107950</xdr:rowOff>
    </xdr:from>
    <xdr:to>
      <xdr:col>18</xdr:col>
      <xdr:colOff>800100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3D0A2-7642-2F43-9191-766D2D31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349250</xdr:colOff>
      <xdr:row>28</xdr:row>
      <xdr:rowOff>184150</xdr:rowOff>
    </xdr:from>
    <xdr:to>
      <xdr:col>18</xdr:col>
      <xdr:colOff>793750</xdr:colOff>
      <xdr:row>42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84834-D2D2-C34E-99A8-D5836680E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C2C9-E4EC-3E49-8CC4-0A9680119D17}">
  <dimension ref="A1:O108"/>
  <sheetViews>
    <sheetView workbookViewId="0">
      <selection activeCell="U18" sqref="U18"/>
    </sheetView>
  </sheetViews>
  <sheetFormatPr baseColWidth="10" defaultRowHeight="16" x14ac:dyDescent="0.2"/>
  <cols>
    <col min="1" max="1" width="8.1640625" bestFit="1" customWidth="1"/>
    <col min="2" max="2" width="14.5" bestFit="1" customWidth="1"/>
    <col min="3" max="3" width="22.1640625" bestFit="1" customWidth="1"/>
    <col min="5" max="5" width="8.1640625" bestFit="1" customWidth="1"/>
    <col min="6" max="6" width="14.5" bestFit="1" customWidth="1"/>
    <col min="7" max="7" width="22.1640625" bestFit="1" customWidth="1"/>
    <col min="10" max="10" width="9.33203125" bestFit="1" customWidth="1"/>
    <col min="12" max="13" width="11.5" bestFit="1" customWidth="1"/>
  </cols>
  <sheetData>
    <row r="1" spans="1:15" x14ac:dyDescent="0.2">
      <c r="B1" s="2" t="s">
        <v>6</v>
      </c>
      <c r="C1" s="2"/>
      <c r="F1" s="2" t="s">
        <v>7</v>
      </c>
      <c r="G1" s="2"/>
      <c r="J1" t="s">
        <v>6</v>
      </c>
      <c r="K1" t="s">
        <v>7</v>
      </c>
      <c r="L1" t="s">
        <v>6</v>
      </c>
      <c r="M1" t="s">
        <v>7</v>
      </c>
      <c r="N1" t="s">
        <v>9</v>
      </c>
    </row>
    <row r="2" spans="1:15" x14ac:dyDescent="0.2">
      <c r="A2" t="s">
        <v>10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J2" t="s">
        <v>5</v>
      </c>
      <c r="K2" t="s">
        <v>5</v>
      </c>
      <c r="L2" t="s">
        <v>8</v>
      </c>
      <c r="M2" t="s">
        <v>8</v>
      </c>
      <c r="N2" t="s">
        <v>8</v>
      </c>
    </row>
    <row r="3" spans="1:15" x14ac:dyDescent="0.2">
      <c r="A3">
        <v>1</v>
      </c>
      <c r="B3">
        <v>3.024</v>
      </c>
      <c r="C3">
        <v>3.5619999999999998</v>
      </c>
      <c r="E3">
        <v>1</v>
      </c>
      <c r="F3">
        <v>1.0169999999999999</v>
      </c>
      <c r="G3">
        <v>1.238</v>
      </c>
      <c r="J3">
        <v>16324</v>
      </c>
      <c r="K3">
        <v>16696</v>
      </c>
      <c r="L3">
        <f>B107</f>
        <v>2.6341600000000001</v>
      </c>
      <c r="M3">
        <f>F107</f>
        <v>1.0131200000000002</v>
      </c>
      <c r="N3" s="1">
        <f>(M3-L3)/L3</f>
        <v>-0.61539162389528346</v>
      </c>
      <c r="O3" t="s">
        <v>12</v>
      </c>
    </row>
    <row r="4" spans="1:15" x14ac:dyDescent="0.2">
      <c r="A4">
        <v>2</v>
      </c>
      <c r="B4">
        <v>2.8010000000000002</v>
      </c>
      <c r="C4">
        <v>2.9990000000000001</v>
      </c>
      <c r="E4">
        <v>2</v>
      </c>
      <c r="F4">
        <v>1.0409999999999999</v>
      </c>
      <c r="G4">
        <v>1.2470000000000001</v>
      </c>
      <c r="J4">
        <v>15162</v>
      </c>
      <c r="K4">
        <v>18703</v>
      </c>
      <c r="N4" t="s">
        <v>5</v>
      </c>
    </row>
    <row r="5" spans="1:15" x14ac:dyDescent="0.2">
      <c r="A5">
        <v>3</v>
      </c>
      <c r="B5">
        <v>2.6789999999999998</v>
      </c>
      <c r="C5">
        <v>2.8620000000000001</v>
      </c>
      <c r="E5">
        <v>3</v>
      </c>
      <c r="F5">
        <v>0.98599999999999999</v>
      </c>
      <c r="G5">
        <v>1.1970000000000001</v>
      </c>
      <c r="J5">
        <v>13968</v>
      </c>
      <c r="K5">
        <v>18870</v>
      </c>
      <c r="N5" s="1">
        <f>(K107-J107)/J107</f>
        <v>0.13920758757839988</v>
      </c>
      <c r="O5" t="s">
        <v>11</v>
      </c>
    </row>
    <row r="6" spans="1:15" x14ac:dyDescent="0.2">
      <c r="A6">
        <v>4</v>
      </c>
      <c r="B6">
        <v>2.5369999999999999</v>
      </c>
      <c r="C6">
        <v>2.726</v>
      </c>
      <c r="E6">
        <v>4</v>
      </c>
      <c r="F6">
        <v>0.99</v>
      </c>
      <c r="G6">
        <v>1.2010000000000001</v>
      </c>
      <c r="J6">
        <v>15178</v>
      </c>
      <c r="K6">
        <v>18688</v>
      </c>
    </row>
    <row r="7" spans="1:15" x14ac:dyDescent="0.2">
      <c r="A7">
        <v>5</v>
      </c>
      <c r="B7">
        <v>2.641</v>
      </c>
      <c r="C7">
        <v>2.8130000000000002</v>
      </c>
      <c r="E7">
        <v>5</v>
      </c>
      <c r="F7">
        <v>0.98899999999999999</v>
      </c>
      <c r="G7">
        <v>1.202</v>
      </c>
      <c r="J7">
        <v>15884</v>
      </c>
      <c r="K7">
        <v>18906</v>
      </c>
    </row>
    <row r="8" spans="1:15" x14ac:dyDescent="0.2">
      <c r="A8">
        <v>6</v>
      </c>
      <c r="B8">
        <v>2.5219999999999998</v>
      </c>
      <c r="C8">
        <v>2.7240000000000002</v>
      </c>
      <c r="E8">
        <v>6</v>
      </c>
      <c r="F8">
        <v>0.97199999999999998</v>
      </c>
      <c r="G8">
        <v>1.1679999999999999</v>
      </c>
      <c r="J8">
        <v>14620</v>
      </c>
      <c r="K8">
        <v>17895</v>
      </c>
    </row>
    <row r="9" spans="1:15" x14ac:dyDescent="0.2">
      <c r="A9">
        <v>7</v>
      </c>
      <c r="B9">
        <v>2.661</v>
      </c>
      <c r="C9">
        <v>2.8380000000000001</v>
      </c>
      <c r="E9">
        <v>7</v>
      </c>
      <c r="F9">
        <v>1.016</v>
      </c>
      <c r="G9">
        <v>1.226</v>
      </c>
      <c r="J9">
        <v>16548</v>
      </c>
      <c r="K9">
        <v>18067</v>
      </c>
    </row>
    <row r="10" spans="1:15" x14ac:dyDescent="0.2">
      <c r="A10">
        <v>8</v>
      </c>
      <c r="B10">
        <v>2.7</v>
      </c>
      <c r="C10">
        <v>2.8889999999999998</v>
      </c>
      <c r="E10">
        <v>8</v>
      </c>
      <c r="F10">
        <v>1.006</v>
      </c>
      <c r="G10">
        <v>1.216</v>
      </c>
      <c r="J10">
        <v>16443</v>
      </c>
      <c r="K10">
        <v>17156</v>
      </c>
    </row>
    <row r="11" spans="1:15" x14ac:dyDescent="0.2">
      <c r="A11">
        <v>9</v>
      </c>
      <c r="B11">
        <v>2.5779999999999998</v>
      </c>
      <c r="C11">
        <v>2.7530000000000001</v>
      </c>
      <c r="E11">
        <v>9</v>
      </c>
      <c r="F11">
        <v>0.98699999999999999</v>
      </c>
      <c r="G11">
        <v>1.1879999999999999</v>
      </c>
      <c r="J11">
        <v>14720</v>
      </c>
      <c r="K11">
        <v>16136</v>
      </c>
    </row>
    <row r="12" spans="1:15" x14ac:dyDescent="0.2">
      <c r="A12">
        <v>10</v>
      </c>
      <c r="B12">
        <v>2.645</v>
      </c>
      <c r="C12">
        <v>2.8450000000000002</v>
      </c>
      <c r="E12">
        <v>10</v>
      </c>
      <c r="F12">
        <v>0.97</v>
      </c>
      <c r="G12">
        <v>1.1759999999999999</v>
      </c>
      <c r="J12">
        <v>16713</v>
      </c>
      <c r="K12">
        <v>18330</v>
      </c>
    </row>
    <row r="13" spans="1:15" x14ac:dyDescent="0.2">
      <c r="A13">
        <v>11</v>
      </c>
      <c r="B13">
        <v>2.5819999999999999</v>
      </c>
      <c r="C13">
        <v>2.7589999999999999</v>
      </c>
      <c r="E13">
        <v>11</v>
      </c>
      <c r="F13">
        <v>1.052</v>
      </c>
      <c r="G13">
        <v>1.26</v>
      </c>
      <c r="J13">
        <v>16222</v>
      </c>
      <c r="K13">
        <v>18665</v>
      </c>
    </row>
    <row r="14" spans="1:15" x14ac:dyDescent="0.2">
      <c r="A14">
        <v>12</v>
      </c>
      <c r="B14">
        <v>2.6629999999999998</v>
      </c>
      <c r="C14">
        <v>2.8530000000000002</v>
      </c>
      <c r="E14">
        <v>12</v>
      </c>
      <c r="F14">
        <v>1.0049999999999999</v>
      </c>
      <c r="G14">
        <v>1.2230000000000001</v>
      </c>
      <c r="J14">
        <v>15333</v>
      </c>
      <c r="K14">
        <v>18730</v>
      </c>
    </row>
    <row r="15" spans="1:15" x14ac:dyDescent="0.2">
      <c r="A15">
        <v>13</v>
      </c>
      <c r="B15">
        <v>2.6549999999999998</v>
      </c>
      <c r="C15">
        <v>2.83</v>
      </c>
      <c r="E15">
        <v>13</v>
      </c>
      <c r="F15">
        <v>1.145</v>
      </c>
      <c r="G15">
        <v>1.349</v>
      </c>
      <c r="J15">
        <v>16332</v>
      </c>
      <c r="K15">
        <v>18201</v>
      </c>
    </row>
    <row r="16" spans="1:15" x14ac:dyDescent="0.2">
      <c r="A16">
        <v>14</v>
      </c>
      <c r="B16">
        <v>2.621</v>
      </c>
      <c r="C16">
        <v>2.7989999999999999</v>
      </c>
      <c r="E16">
        <v>14</v>
      </c>
      <c r="F16">
        <v>1</v>
      </c>
      <c r="G16">
        <v>1.222</v>
      </c>
      <c r="J16">
        <v>15262</v>
      </c>
      <c r="K16">
        <v>16179</v>
      </c>
    </row>
    <row r="17" spans="1:11" x14ac:dyDescent="0.2">
      <c r="A17">
        <v>15</v>
      </c>
      <c r="B17">
        <v>2.7069999999999999</v>
      </c>
      <c r="C17">
        <v>2.879</v>
      </c>
      <c r="E17">
        <v>15</v>
      </c>
      <c r="F17">
        <v>1.026</v>
      </c>
      <c r="G17">
        <v>1.234</v>
      </c>
      <c r="J17">
        <v>15149</v>
      </c>
      <c r="K17">
        <v>18238</v>
      </c>
    </row>
    <row r="18" spans="1:11" x14ac:dyDescent="0.2">
      <c r="A18">
        <v>16</v>
      </c>
      <c r="B18">
        <v>2.6360000000000001</v>
      </c>
      <c r="C18">
        <v>2.8119999999999998</v>
      </c>
      <c r="E18">
        <v>16</v>
      </c>
      <c r="F18">
        <v>1.026</v>
      </c>
      <c r="G18">
        <v>1.2370000000000001</v>
      </c>
      <c r="J18">
        <v>16688</v>
      </c>
      <c r="K18">
        <v>16843</v>
      </c>
    </row>
    <row r="19" spans="1:11" x14ac:dyDescent="0.2">
      <c r="A19">
        <v>17</v>
      </c>
      <c r="B19">
        <v>2.7130000000000001</v>
      </c>
      <c r="C19">
        <v>2.8980000000000001</v>
      </c>
      <c r="E19">
        <v>17</v>
      </c>
      <c r="F19">
        <v>1.014</v>
      </c>
      <c r="G19">
        <v>1.23</v>
      </c>
      <c r="J19">
        <v>16163</v>
      </c>
      <c r="K19">
        <v>16920</v>
      </c>
    </row>
    <row r="20" spans="1:11" x14ac:dyDescent="0.2">
      <c r="A20">
        <v>18</v>
      </c>
      <c r="B20">
        <v>2.726</v>
      </c>
      <c r="C20">
        <v>2.9119999999999999</v>
      </c>
      <c r="E20">
        <v>18</v>
      </c>
      <c r="F20">
        <v>0.98599999999999999</v>
      </c>
      <c r="G20">
        <v>1.202</v>
      </c>
      <c r="J20">
        <v>16680</v>
      </c>
      <c r="K20">
        <v>18839</v>
      </c>
    </row>
    <row r="21" spans="1:11" x14ac:dyDescent="0.2">
      <c r="A21">
        <v>19</v>
      </c>
      <c r="B21">
        <v>2.6539999999999999</v>
      </c>
      <c r="C21">
        <v>2.8359999999999999</v>
      </c>
      <c r="E21">
        <v>19</v>
      </c>
      <c r="F21">
        <v>1.0209999999999999</v>
      </c>
      <c r="G21">
        <v>1.2230000000000001</v>
      </c>
      <c r="J21">
        <v>15868</v>
      </c>
      <c r="K21">
        <v>18193</v>
      </c>
    </row>
    <row r="22" spans="1:11" x14ac:dyDescent="0.2">
      <c r="A22">
        <v>20</v>
      </c>
      <c r="B22">
        <v>2.5830000000000002</v>
      </c>
      <c r="C22">
        <v>2.7589999999999999</v>
      </c>
      <c r="E22">
        <v>20</v>
      </c>
      <c r="F22">
        <v>0.99399999999999999</v>
      </c>
      <c r="G22">
        <v>1.2250000000000001</v>
      </c>
      <c r="J22">
        <v>14519</v>
      </c>
      <c r="K22">
        <v>17201</v>
      </c>
    </row>
    <row r="23" spans="1:11" x14ac:dyDescent="0.2">
      <c r="A23">
        <v>21</v>
      </c>
      <c r="B23">
        <v>2.5939999999999999</v>
      </c>
      <c r="C23">
        <v>2.7719999999999998</v>
      </c>
      <c r="E23">
        <v>21</v>
      </c>
      <c r="F23">
        <v>0.996</v>
      </c>
      <c r="G23">
        <v>1.216</v>
      </c>
      <c r="J23">
        <v>15110</v>
      </c>
      <c r="K23">
        <v>18504</v>
      </c>
    </row>
    <row r="24" spans="1:11" x14ac:dyDescent="0.2">
      <c r="A24">
        <v>22</v>
      </c>
      <c r="B24">
        <v>2.6080000000000001</v>
      </c>
      <c r="C24">
        <v>2.7829999999999999</v>
      </c>
      <c r="E24">
        <v>22</v>
      </c>
      <c r="F24">
        <v>1.0720000000000001</v>
      </c>
      <c r="G24">
        <v>1.3</v>
      </c>
      <c r="J24">
        <v>14269</v>
      </c>
      <c r="K24">
        <v>19083</v>
      </c>
    </row>
    <row r="25" spans="1:11" x14ac:dyDescent="0.2">
      <c r="A25">
        <v>23</v>
      </c>
      <c r="B25">
        <v>2.5649999999999999</v>
      </c>
      <c r="C25">
        <v>2.7450000000000001</v>
      </c>
      <c r="E25">
        <v>23</v>
      </c>
      <c r="F25">
        <v>1.012</v>
      </c>
      <c r="G25">
        <v>1.2170000000000001</v>
      </c>
      <c r="J25">
        <v>15156</v>
      </c>
      <c r="K25">
        <v>18804</v>
      </c>
    </row>
    <row r="26" spans="1:11" x14ac:dyDescent="0.2">
      <c r="A26">
        <v>24</v>
      </c>
      <c r="B26">
        <v>2.5630000000000002</v>
      </c>
      <c r="C26">
        <v>2.74</v>
      </c>
      <c r="E26">
        <v>24</v>
      </c>
      <c r="F26">
        <v>1.044</v>
      </c>
      <c r="G26">
        <v>1.2629999999999999</v>
      </c>
      <c r="J26">
        <v>16157</v>
      </c>
      <c r="K26">
        <v>18420</v>
      </c>
    </row>
    <row r="27" spans="1:11" x14ac:dyDescent="0.2">
      <c r="A27">
        <v>25</v>
      </c>
      <c r="B27">
        <v>2.6070000000000002</v>
      </c>
      <c r="C27">
        <v>2.786</v>
      </c>
      <c r="E27">
        <v>25</v>
      </c>
      <c r="F27">
        <v>1.022</v>
      </c>
      <c r="G27">
        <v>1.244</v>
      </c>
      <c r="J27">
        <v>14613</v>
      </c>
      <c r="K27">
        <v>19030</v>
      </c>
    </row>
    <row r="28" spans="1:11" x14ac:dyDescent="0.2">
      <c r="A28">
        <v>26</v>
      </c>
      <c r="B28">
        <v>2.577</v>
      </c>
      <c r="C28">
        <v>2.762</v>
      </c>
      <c r="E28">
        <v>26</v>
      </c>
      <c r="F28">
        <v>0.997</v>
      </c>
      <c r="G28">
        <v>1.2030000000000001</v>
      </c>
      <c r="J28">
        <v>15793</v>
      </c>
      <c r="K28">
        <v>18056</v>
      </c>
    </row>
    <row r="29" spans="1:11" x14ac:dyDescent="0.2">
      <c r="A29">
        <v>27</v>
      </c>
      <c r="B29">
        <v>2.597</v>
      </c>
      <c r="C29">
        <v>2.77</v>
      </c>
      <c r="E29">
        <v>27</v>
      </c>
      <c r="F29">
        <v>1.0089999999999999</v>
      </c>
      <c r="G29">
        <v>1.2390000000000001</v>
      </c>
      <c r="J29">
        <v>15980</v>
      </c>
      <c r="K29">
        <v>18366</v>
      </c>
    </row>
    <row r="30" spans="1:11" x14ac:dyDescent="0.2">
      <c r="A30">
        <v>28</v>
      </c>
      <c r="B30">
        <v>2.6160000000000001</v>
      </c>
      <c r="C30">
        <v>2.7890000000000001</v>
      </c>
      <c r="E30">
        <v>28</v>
      </c>
      <c r="F30">
        <v>1.044</v>
      </c>
      <c r="G30">
        <v>1.2529999999999999</v>
      </c>
      <c r="J30">
        <v>15606</v>
      </c>
      <c r="K30">
        <v>17271</v>
      </c>
    </row>
    <row r="31" spans="1:11" x14ac:dyDescent="0.2">
      <c r="A31">
        <v>29</v>
      </c>
      <c r="B31">
        <v>2.621</v>
      </c>
      <c r="C31">
        <v>2.7970000000000002</v>
      </c>
      <c r="E31">
        <v>29</v>
      </c>
      <c r="F31">
        <v>0.99</v>
      </c>
      <c r="G31">
        <v>1.1930000000000001</v>
      </c>
      <c r="J31">
        <v>15335</v>
      </c>
      <c r="K31">
        <v>18288</v>
      </c>
    </row>
    <row r="32" spans="1:11" x14ac:dyDescent="0.2">
      <c r="A32">
        <v>30</v>
      </c>
      <c r="B32">
        <v>2.589</v>
      </c>
      <c r="C32">
        <v>2.7650000000000001</v>
      </c>
      <c r="E32">
        <v>30</v>
      </c>
      <c r="F32">
        <v>0.998</v>
      </c>
      <c r="G32">
        <v>1.216</v>
      </c>
      <c r="J32">
        <v>14041</v>
      </c>
      <c r="K32">
        <v>19256</v>
      </c>
    </row>
    <row r="33" spans="1:11" x14ac:dyDescent="0.2">
      <c r="A33">
        <v>31</v>
      </c>
      <c r="B33">
        <v>2.61</v>
      </c>
      <c r="C33">
        <v>2.7829999999999999</v>
      </c>
      <c r="E33">
        <v>31</v>
      </c>
      <c r="F33">
        <v>0.99099999999999999</v>
      </c>
      <c r="G33">
        <v>1.2170000000000001</v>
      </c>
      <c r="J33">
        <v>15928</v>
      </c>
      <c r="K33">
        <v>18723</v>
      </c>
    </row>
    <row r="34" spans="1:11" x14ac:dyDescent="0.2">
      <c r="A34">
        <v>32</v>
      </c>
      <c r="B34">
        <v>2.6</v>
      </c>
      <c r="C34">
        <v>2.7810000000000001</v>
      </c>
      <c r="E34">
        <v>32</v>
      </c>
      <c r="F34">
        <v>1.004</v>
      </c>
      <c r="G34">
        <v>1.2210000000000001</v>
      </c>
      <c r="J34">
        <v>16961</v>
      </c>
      <c r="K34">
        <v>16413</v>
      </c>
    </row>
    <row r="35" spans="1:11" x14ac:dyDescent="0.2">
      <c r="A35">
        <v>33</v>
      </c>
      <c r="B35">
        <v>2.593</v>
      </c>
      <c r="C35">
        <v>2.79</v>
      </c>
      <c r="E35">
        <v>33</v>
      </c>
      <c r="F35">
        <v>0.98799999999999999</v>
      </c>
      <c r="G35">
        <v>1.2030000000000001</v>
      </c>
      <c r="J35">
        <v>15604</v>
      </c>
      <c r="K35">
        <v>18345</v>
      </c>
    </row>
    <row r="36" spans="1:11" x14ac:dyDescent="0.2">
      <c r="A36">
        <v>34</v>
      </c>
      <c r="B36">
        <v>2.6520000000000001</v>
      </c>
      <c r="C36">
        <v>2.831</v>
      </c>
      <c r="E36">
        <v>34</v>
      </c>
      <c r="F36">
        <v>1.0009999999999999</v>
      </c>
      <c r="G36">
        <v>1.2110000000000001</v>
      </c>
      <c r="J36">
        <v>15889</v>
      </c>
      <c r="K36">
        <v>18754</v>
      </c>
    </row>
    <row r="37" spans="1:11" x14ac:dyDescent="0.2">
      <c r="A37">
        <v>35</v>
      </c>
      <c r="B37">
        <v>2.6190000000000002</v>
      </c>
      <c r="C37">
        <v>2.7919999999999998</v>
      </c>
      <c r="E37">
        <v>35</v>
      </c>
      <c r="F37">
        <v>0.99399999999999999</v>
      </c>
      <c r="G37">
        <v>1.216</v>
      </c>
      <c r="J37">
        <v>14025</v>
      </c>
      <c r="K37">
        <v>17633</v>
      </c>
    </row>
    <row r="38" spans="1:11" x14ac:dyDescent="0.2">
      <c r="A38">
        <v>36</v>
      </c>
      <c r="B38">
        <v>2.6549999999999998</v>
      </c>
      <c r="C38">
        <v>2.8340000000000001</v>
      </c>
      <c r="E38">
        <v>36</v>
      </c>
      <c r="F38">
        <v>1.014</v>
      </c>
      <c r="G38">
        <v>1.216</v>
      </c>
      <c r="J38">
        <v>15894</v>
      </c>
      <c r="K38">
        <v>16441</v>
      </c>
    </row>
    <row r="39" spans="1:11" x14ac:dyDescent="0.2">
      <c r="A39">
        <v>37</v>
      </c>
      <c r="B39">
        <v>2.5760000000000001</v>
      </c>
      <c r="C39">
        <v>2.7490000000000001</v>
      </c>
      <c r="E39">
        <v>37</v>
      </c>
      <c r="F39">
        <v>1.0209999999999999</v>
      </c>
      <c r="G39">
        <v>1.2470000000000001</v>
      </c>
      <c r="J39">
        <v>16935</v>
      </c>
      <c r="K39">
        <v>17691</v>
      </c>
    </row>
    <row r="40" spans="1:11" x14ac:dyDescent="0.2">
      <c r="A40">
        <v>38</v>
      </c>
      <c r="B40">
        <v>2.645</v>
      </c>
      <c r="C40">
        <v>2.8170000000000002</v>
      </c>
      <c r="E40">
        <v>38</v>
      </c>
      <c r="F40">
        <v>1.002</v>
      </c>
      <c r="G40">
        <v>1.204</v>
      </c>
      <c r="J40">
        <v>16370</v>
      </c>
      <c r="K40">
        <v>18726</v>
      </c>
    </row>
    <row r="41" spans="1:11" x14ac:dyDescent="0.2">
      <c r="A41">
        <v>39</v>
      </c>
      <c r="B41">
        <v>2.5760000000000001</v>
      </c>
      <c r="C41">
        <v>2.766</v>
      </c>
      <c r="E41">
        <v>39</v>
      </c>
      <c r="F41">
        <v>1.0169999999999999</v>
      </c>
      <c r="G41">
        <v>1.264</v>
      </c>
      <c r="J41">
        <v>16025</v>
      </c>
      <c r="K41">
        <v>18581</v>
      </c>
    </row>
    <row r="42" spans="1:11" x14ac:dyDescent="0.2">
      <c r="A42">
        <v>40</v>
      </c>
      <c r="B42">
        <v>2.665</v>
      </c>
      <c r="C42">
        <v>2.84</v>
      </c>
      <c r="E42">
        <v>40</v>
      </c>
      <c r="F42">
        <v>1.0069999999999999</v>
      </c>
      <c r="G42">
        <v>1.214</v>
      </c>
      <c r="J42">
        <v>16082</v>
      </c>
      <c r="K42">
        <v>18737</v>
      </c>
    </row>
    <row r="43" spans="1:11" x14ac:dyDescent="0.2">
      <c r="A43">
        <v>41</v>
      </c>
      <c r="B43">
        <v>2.7189999999999999</v>
      </c>
      <c r="C43">
        <v>2.915</v>
      </c>
      <c r="E43">
        <v>41</v>
      </c>
      <c r="F43">
        <v>1.0269999999999999</v>
      </c>
      <c r="G43">
        <v>1.242</v>
      </c>
      <c r="J43">
        <v>16393</v>
      </c>
      <c r="K43">
        <v>18007</v>
      </c>
    </row>
    <row r="44" spans="1:11" x14ac:dyDescent="0.2">
      <c r="A44">
        <v>42</v>
      </c>
      <c r="B44">
        <v>2.6659999999999999</v>
      </c>
      <c r="C44">
        <v>2.8580000000000001</v>
      </c>
      <c r="E44">
        <v>42</v>
      </c>
      <c r="F44">
        <v>1.004</v>
      </c>
      <c r="G44">
        <v>1.208</v>
      </c>
      <c r="J44">
        <v>15815</v>
      </c>
      <c r="K44">
        <v>18586</v>
      </c>
    </row>
    <row r="45" spans="1:11" x14ac:dyDescent="0.2">
      <c r="A45">
        <v>43</v>
      </c>
      <c r="B45">
        <v>2.5960000000000001</v>
      </c>
      <c r="C45">
        <v>2.7709999999999999</v>
      </c>
      <c r="E45">
        <v>43</v>
      </c>
      <c r="F45">
        <v>1.042</v>
      </c>
      <c r="G45">
        <v>1.272</v>
      </c>
      <c r="J45">
        <v>13622</v>
      </c>
      <c r="K45">
        <v>18678</v>
      </c>
    </row>
    <row r="46" spans="1:11" x14ac:dyDescent="0.2">
      <c r="A46">
        <v>44</v>
      </c>
      <c r="B46">
        <v>2.6619999999999999</v>
      </c>
      <c r="C46">
        <v>2.8490000000000002</v>
      </c>
      <c r="E46">
        <v>44</v>
      </c>
      <c r="F46">
        <v>1.0369999999999999</v>
      </c>
      <c r="G46">
        <v>1.2390000000000001</v>
      </c>
      <c r="J46">
        <v>15771</v>
      </c>
      <c r="K46">
        <v>18513</v>
      </c>
    </row>
    <row r="47" spans="1:11" x14ac:dyDescent="0.2">
      <c r="A47">
        <v>45</v>
      </c>
      <c r="B47">
        <v>2.6360000000000001</v>
      </c>
      <c r="C47">
        <v>2.819</v>
      </c>
      <c r="E47">
        <v>45</v>
      </c>
      <c r="F47">
        <v>0.998</v>
      </c>
      <c r="G47">
        <v>1.2030000000000001</v>
      </c>
      <c r="J47">
        <v>14566</v>
      </c>
      <c r="K47">
        <v>18051</v>
      </c>
    </row>
    <row r="48" spans="1:11" x14ac:dyDescent="0.2">
      <c r="A48">
        <v>46</v>
      </c>
      <c r="B48">
        <v>2.5830000000000002</v>
      </c>
      <c r="C48">
        <v>2.7810000000000001</v>
      </c>
      <c r="E48">
        <v>46</v>
      </c>
      <c r="F48">
        <v>1.0009999999999999</v>
      </c>
      <c r="G48">
        <v>1.226</v>
      </c>
      <c r="J48">
        <v>14830</v>
      </c>
      <c r="K48">
        <v>18132</v>
      </c>
    </row>
    <row r="49" spans="1:11" x14ac:dyDescent="0.2">
      <c r="A49">
        <v>47</v>
      </c>
      <c r="B49">
        <v>2.6749999999999998</v>
      </c>
      <c r="C49">
        <v>2.86</v>
      </c>
      <c r="E49">
        <v>47</v>
      </c>
      <c r="F49">
        <v>0.99399999999999999</v>
      </c>
      <c r="G49">
        <v>1.2190000000000001</v>
      </c>
      <c r="J49">
        <v>16037</v>
      </c>
      <c r="K49">
        <v>19097</v>
      </c>
    </row>
    <row r="50" spans="1:11" x14ac:dyDescent="0.2">
      <c r="A50">
        <v>48</v>
      </c>
      <c r="B50">
        <v>2.6720000000000002</v>
      </c>
      <c r="C50">
        <v>2.8719999999999999</v>
      </c>
      <c r="E50">
        <v>48</v>
      </c>
      <c r="F50">
        <v>1.014</v>
      </c>
      <c r="G50">
        <v>1.216</v>
      </c>
      <c r="J50">
        <v>16494</v>
      </c>
      <c r="K50">
        <v>17328</v>
      </c>
    </row>
    <row r="51" spans="1:11" x14ac:dyDescent="0.2">
      <c r="A51">
        <v>49</v>
      </c>
      <c r="B51">
        <v>2.6240000000000001</v>
      </c>
      <c r="C51">
        <v>2.8170000000000002</v>
      </c>
      <c r="E51">
        <v>49</v>
      </c>
      <c r="F51">
        <v>1.0009999999999999</v>
      </c>
      <c r="G51">
        <v>1.21</v>
      </c>
      <c r="J51">
        <v>16381</v>
      </c>
      <c r="K51">
        <v>18481</v>
      </c>
    </row>
    <row r="52" spans="1:11" x14ac:dyDescent="0.2">
      <c r="A52">
        <v>50</v>
      </c>
      <c r="B52">
        <v>2.6389999999999998</v>
      </c>
      <c r="C52">
        <v>2.827</v>
      </c>
      <c r="E52">
        <v>50</v>
      </c>
      <c r="F52">
        <v>1.0169999999999999</v>
      </c>
      <c r="G52">
        <v>1.2330000000000001</v>
      </c>
      <c r="J52">
        <v>16520</v>
      </c>
      <c r="K52">
        <v>18393</v>
      </c>
    </row>
    <row r="53" spans="1:11" x14ac:dyDescent="0.2">
      <c r="A53">
        <v>51</v>
      </c>
      <c r="B53">
        <v>2.6030000000000002</v>
      </c>
      <c r="C53">
        <v>2.7879999999999998</v>
      </c>
      <c r="E53">
        <v>51</v>
      </c>
      <c r="F53">
        <v>1.022</v>
      </c>
      <c r="G53">
        <v>1.234</v>
      </c>
      <c r="J53">
        <v>13553</v>
      </c>
      <c r="K53">
        <v>18034</v>
      </c>
    </row>
    <row r="54" spans="1:11" x14ac:dyDescent="0.2">
      <c r="A54">
        <v>52</v>
      </c>
      <c r="B54">
        <v>2.6360000000000001</v>
      </c>
      <c r="C54">
        <v>2.8340000000000001</v>
      </c>
      <c r="E54">
        <v>52</v>
      </c>
      <c r="F54">
        <v>0.997</v>
      </c>
      <c r="G54">
        <v>1.2030000000000001</v>
      </c>
      <c r="J54">
        <v>16347</v>
      </c>
      <c r="K54">
        <v>18444</v>
      </c>
    </row>
    <row r="55" spans="1:11" x14ac:dyDescent="0.2">
      <c r="A55">
        <v>53</v>
      </c>
      <c r="B55">
        <v>2.7269999999999999</v>
      </c>
      <c r="C55">
        <v>2.9140000000000001</v>
      </c>
      <c r="E55">
        <v>53</v>
      </c>
      <c r="F55">
        <v>0.99099999999999999</v>
      </c>
      <c r="G55">
        <v>1.202</v>
      </c>
      <c r="J55">
        <v>16066</v>
      </c>
      <c r="K55">
        <v>16953</v>
      </c>
    </row>
    <row r="56" spans="1:11" x14ac:dyDescent="0.2">
      <c r="A56">
        <v>54</v>
      </c>
      <c r="B56">
        <v>2.6150000000000002</v>
      </c>
      <c r="C56">
        <v>2.8079999999999998</v>
      </c>
      <c r="E56">
        <v>54</v>
      </c>
      <c r="F56">
        <v>1.08</v>
      </c>
      <c r="G56">
        <v>1.2869999999999999</v>
      </c>
      <c r="J56">
        <v>15802</v>
      </c>
      <c r="K56">
        <v>18794</v>
      </c>
    </row>
    <row r="57" spans="1:11" x14ac:dyDescent="0.2">
      <c r="A57">
        <v>55</v>
      </c>
      <c r="B57">
        <v>2.5960000000000001</v>
      </c>
      <c r="C57">
        <v>2.7730000000000001</v>
      </c>
      <c r="E57">
        <v>55</v>
      </c>
      <c r="F57">
        <v>0.99199999999999999</v>
      </c>
      <c r="G57">
        <v>1.2150000000000001</v>
      </c>
      <c r="J57">
        <v>16878</v>
      </c>
      <c r="K57">
        <v>16467</v>
      </c>
    </row>
    <row r="58" spans="1:11" x14ac:dyDescent="0.2">
      <c r="A58">
        <v>56</v>
      </c>
      <c r="B58">
        <v>2.7189999999999999</v>
      </c>
      <c r="C58">
        <v>2.9260000000000002</v>
      </c>
      <c r="E58">
        <v>56</v>
      </c>
      <c r="F58">
        <v>1.0509999999999999</v>
      </c>
      <c r="G58">
        <v>1.2669999999999999</v>
      </c>
      <c r="J58">
        <v>16280</v>
      </c>
      <c r="K58">
        <v>16887</v>
      </c>
    </row>
    <row r="59" spans="1:11" x14ac:dyDescent="0.2">
      <c r="A59">
        <v>57</v>
      </c>
      <c r="B59">
        <v>2.6379999999999999</v>
      </c>
      <c r="C59">
        <v>2.8130000000000002</v>
      </c>
      <c r="E59">
        <v>57</v>
      </c>
      <c r="F59">
        <v>1.02</v>
      </c>
      <c r="G59">
        <v>1.228</v>
      </c>
      <c r="J59">
        <v>15841</v>
      </c>
      <c r="K59">
        <v>18716</v>
      </c>
    </row>
    <row r="60" spans="1:11" x14ac:dyDescent="0.2">
      <c r="A60">
        <v>58</v>
      </c>
      <c r="B60">
        <v>2.681</v>
      </c>
      <c r="C60">
        <v>2.8540000000000001</v>
      </c>
      <c r="E60">
        <v>58</v>
      </c>
      <c r="F60">
        <v>0.998</v>
      </c>
      <c r="G60">
        <v>1.208</v>
      </c>
      <c r="J60">
        <v>15816</v>
      </c>
      <c r="K60">
        <v>18807</v>
      </c>
    </row>
    <row r="61" spans="1:11" x14ac:dyDescent="0.2">
      <c r="A61">
        <v>59</v>
      </c>
      <c r="B61">
        <v>2.6629999999999998</v>
      </c>
      <c r="C61">
        <v>2.8450000000000002</v>
      </c>
      <c r="E61">
        <v>59</v>
      </c>
      <c r="F61">
        <v>1.02</v>
      </c>
      <c r="G61">
        <v>1.2290000000000001</v>
      </c>
      <c r="J61">
        <v>14850</v>
      </c>
      <c r="K61">
        <v>18670</v>
      </c>
    </row>
    <row r="62" spans="1:11" x14ac:dyDescent="0.2">
      <c r="A62">
        <v>60</v>
      </c>
      <c r="B62">
        <v>2.63</v>
      </c>
      <c r="C62">
        <v>2.827</v>
      </c>
      <c r="E62">
        <v>60</v>
      </c>
      <c r="F62">
        <v>1.0069999999999999</v>
      </c>
      <c r="G62">
        <v>1.2130000000000001</v>
      </c>
      <c r="J62">
        <v>14955</v>
      </c>
      <c r="K62">
        <v>18440</v>
      </c>
    </row>
    <row r="63" spans="1:11" x14ac:dyDescent="0.2">
      <c r="A63">
        <v>61</v>
      </c>
      <c r="B63">
        <v>2.5859999999999999</v>
      </c>
      <c r="C63">
        <v>2.7589999999999999</v>
      </c>
      <c r="E63">
        <v>61</v>
      </c>
      <c r="F63">
        <v>0.99399999999999999</v>
      </c>
      <c r="G63">
        <v>1.1990000000000001</v>
      </c>
      <c r="J63">
        <v>16333</v>
      </c>
      <c r="K63">
        <v>17988</v>
      </c>
    </row>
    <row r="64" spans="1:11" x14ac:dyDescent="0.2">
      <c r="A64">
        <v>62</v>
      </c>
      <c r="B64">
        <v>2.726</v>
      </c>
      <c r="C64">
        <v>2.915</v>
      </c>
      <c r="E64">
        <v>62</v>
      </c>
      <c r="F64">
        <v>0.999</v>
      </c>
      <c r="G64">
        <v>1.206</v>
      </c>
      <c r="J64">
        <v>12880</v>
      </c>
      <c r="K64">
        <v>15881</v>
      </c>
    </row>
    <row r="65" spans="1:11" x14ac:dyDescent="0.2">
      <c r="A65">
        <v>63</v>
      </c>
      <c r="B65">
        <v>2.617</v>
      </c>
      <c r="C65">
        <v>2.79</v>
      </c>
      <c r="E65">
        <v>63</v>
      </c>
      <c r="F65">
        <v>1.012</v>
      </c>
      <c r="G65">
        <v>1.224</v>
      </c>
      <c r="J65">
        <v>13791</v>
      </c>
      <c r="K65">
        <v>18511</v>
      </c>
    </row>
    <row r="66" spans="1:11" x14ac:dyDescent="0.2">
      <c r="A66">
        <v>64</v>
      </c>
      <c r="B66">
        <v>2.621</v>
      </c>
      <c r="C66">
        <v>2.798</v>
      </c>
      <c r="E66">
        <v>64</v>
      </c>
      <c r="F66">
        <v>0.98899999999999999</v>
      </c>
      <c r="G66">
        <v>1.2</v>
      </c>
      <c r="J66">
        <v>12568</v>
      </c>
      <c r="K66">
        <v>18728</v>
      </c>
    </row>
    <row r="67" spans="1:11" x14ac:dyDescent="0.2">
      <c r="A67">
        <v>65</v>
      </c>
      <c r="B67">
        <v>2.6859999999999999</v>
      </c>
      <c r="C67">
        <v>2.859</v>
      </c>
      <c r="E67">
        <v>65</v>
      </c>
      <c r="F67">
        <v>1.022</v>
      </c>
      <c r="G67">
        <v>1.226</v>
      </c>
      <c r="J67">
        <v>16005</v>
      </c>
      <c r="K67">
        <v>16966</v>
      </c>
    </row>
    <row r="68" spans="1:11" x14ac:dyDescent="0.2">
      <c r="A68">
        <v>66</v>
      </c>
      <c r="B68">
        <v>2.63</v>
      </c>
      <c r="C68">
        <v>2.8039999999999998</v>
      </c>
      <c r="E68">
        <v>66</v>
      </c>
      <c r="F68">
        <v>0.98499999999999999</v>
      </c>
      <c r="G68">
        <v>1.1930000000000001</v>
      </c>
      <c r="J68">
        <v>16431</v>
      </c>
      <c r="K68">
        <v>17364</v>
      </c>
    </row>
    <row r="69" spans="1:11" x14ac:dyDescent="0.2">
      <c r="A69">
        <v>67</v>
      </c>
      <c r="B69">
        <v>2.601</v>
      </c>
      <c r="C69">
        <v>2.774</v>
      </c>
      <c r="E69">
        <v>67</v>
      </c>
      <c r="F69">
        <v>1</v>
      </c>
      <c r="G69">
        <v>1.2170000000000001</v>
      </c>
      <c r="J69">
        <v>15782</v>
      </c>
      <c r="K69">
        <v>18717</v>
      </c>
    </row>
    <row r="70" spans="1:11" x14ac:dyDescent="0.2">
      <c r="A70">
        <v>68</v>
      </c>
      <c r="B70">
        <v>2.657</v>
      </c>
      <c r="C70">
        <v>2.839</v>
      </c>
      <c r="E70">
        <v>68</v>
      </c>
      <c r="F70">
        <v>0.97699999999999998</v>
      </c>
      <c r="G70">
        <v>1.198</v>
      </c>
      <c r="J70">
        <v>16174</v>
      </c>
      <c r="K70">
        <v>19212</v>
      </c>
    </row>
    <row r="71" spans="1:11" x14ac:dyDescent="0.2">
      <c r="A71">
        <v>69</v>
      </c>
      <c r="B71">
        <v>2.6110000000000002</v>
      </c>
      <c r="C71">
        <v>2.7930000000000001</v>
      </c>
      <c r="E71">
        <v>69</v>
      </c>
      <c r="F71">
        <v>1.0009999999999999</v>
      </c>
      <c r="G71">
        <v>1.226</v>
      </c>
      <c r="J71">
        <v>15608</v>
      </c>
      <c r="K71">
        <v>18554</v>
      </c>
    </row>
    <row r="72" spans="1:11" x14ac:dyDescent="0.2">
      <c r="A72">
        <v>70</v>
      </c>
      <c r="B72">
        <v>2.5649999999999999</v>
      </c>
      <c r="C72">
        <v>2.7429999999999999</v>
      </c>
      <c r="E72">
        <v>70</v>
      </c>
      <c r="F72">
        <v>1.012</v>
      </c>
      <c r="G72">
        <v>1.22</v>
      </c>
      <c r="J72">
        <v>13650</v>
      </c>
      <c r="K72">
        <v>18604</v>
      </c>
    </row>
    <row r="73" spans="1:11" x14ac:dyDescent="0.2">
      <c r="A73">
        <v>71</v>
      </c>
      <c r="B73">
        <v>2.6850000000000001</v>
      </c>
      <c r="C73">
        <v>2.859</v>
      </c>
      <c r="E73">
        <v>71</v>
      </c>
      <c r="F73">
        <v>1.0049999999999999</v>
      </c>
      <c r="G73">
        <v>1.2629999999999999</v>
      </c>
      <c r="J73">
        <v>13091</v>
      </c>
      <c r="K73">
        <v>16658</v>
      </c>
    </row>
    <row r="74" spans="1:11" x14ac:dyDescent="0.2">
      <c r="A74">
        <v>72</v>
      </c>
      <c r="B74">
        <v>2.5739999999999998</v>
      </c>
      <c r="C74">
        <v>2.746</v>
      </c>
      <c r="E74">
        <v>72</v>
      </c>
      <c r="F74">
        <v>1.032</v>
      </c>
      <c r="G74">
        <v>1.244</v>
      </c>
      <c r="J74">
        <v>13437</v>
      </c>
      <c r="K74">
        <v>18306</v>
      </c>
    </row>
    <row r="75" spans="1:11" x14ac:dyDescent="0.2">
      <c r="A75">
        <v>73</v>
      </c>
      <c r="B75">
        <v>2.597</v>
      </c>
      <c r="C75">
        <v>2.7749999999999999</v>
      </c>
      <c r="E75">
        <v>73</v>
      </c>
      <c r="F75">
        <v>0.98299999999999998</v>
      </c>
      <c r="G75">
        <v>1.2170000000000001</v>
      </c>
      <c r="J75">
        <v>16286</v>
      </c>
      <c r="K75">
        <v>18899</v>
      </c>
    </row>
    <row r="76" spans="1:11" x14ac:dyDescent="0.2">
      <c r="A76">
        <v>74</v>
      </c>
      <c r="B76">
        <v>2.7010000000000001</v>
      </c>
      <c r="C76">
        <v>2.8759999999999999</v>
      </c>
      <c r="E76">
        <v>74</v>
      </c>
      <c r="F76">
        <v>1.0209999999999999</v>
      </c>
      <c r="G76">
        <v>1.2250000000000001</v>
      </c>
      <c r="J76">
        <v>15542</v>
      </c>
      <c r="K76">
        <v>18945</v>
      </c>
    </row>
    <row r="77" spans="1:11" x14ac:dyDescent="0.2">
      <c r="A77">
        <v>75</v>
      </c>
      <c r="B77">
        <v>2.64</v>
      </c>
      <c r="C77">
        <v>2.8149999999999999</v>
      </c>
      <c r="E77">
        <v>75</v>
      </c>
      <c r="F77">
        <v>1.1100000000000001</v>
      </c>
      <c r="G77">
        <v>1.319</v>
      </c>
      <c r="J77">
        <v>15494</v>
      </c>
      <c r="K77">
        <v>18579</v>
      </c>
    </row>
    <row r="78" spans="1:11" x14ac:dyDescent="0.2">
      <c r="A78">
        <v>76</v>
      </c>
      <c r="B78">
        <v>2.6120000000000001</v>
      </c>
      <c r="C78">
        <v>2.8079999999999998</v>
      </c>
      <c r="E78">
        <v>76</v>
      </c>
      <c r="F78">
        <v>1.002</v>
      </c>
      <c r="G78">
        <v>1.2070000000000001</v>
      </c>
      <c r="J78">
        <v>16665</v>
      </c>
      <c r="K78">
        <v>17936</v>
      </c>
    </row>
    <row r="79" spans="1:11" x14ac:dyDescent="0.2">
      <c r="A79">
        <v>77</v>
      </c>
      <c r="B79">
        <v>2.621</v>
      </c>
      <c r="C79">
        <v>2.81</v>
      </c>
      <c r="E79">
        <v>77</v>
      </c>
      <c r="F79">
        <v>1.006</v>
      </c>
      <c r="G79">
        <v>1.2230000000000001</v>
      </c>
      <c r="J79">
        <v>15648</v>
      </c>
      <c r="K79">
        <v>18051</v>
      </c>
    </row>
    <row r="80" spans="1:11" x14ac:dyDescent="0.2">
      <c r="A80">
        <v>78</v>
      </c>
      <c r="B80">
        <v>2.5880000000000001</v>
      </c>
      <c r="C80">
        <v>2.7589999999999999</v>
      </c>
      <c r="E80">
        <v>78</v>
      </c>
      <c r="F80">
        <v>1.006</v>
      </c>
      <c r="G80">
        <v>1.2070000000000001</v>
      </c>
      <c r="J80">
        <v>13811</v>
      </c>
      <c r="K80">
        <v>16979</v>
      </c>
    </row>
    <row r="81" spans="1:11" x14ac:dyDescent="0.2">
      <c r="A81">
        <v>79</v>
      </c>
      <c r="B81">
        <v>2.6080000000000001</v>
      </c>
      <c r="C81">
        <v>2.7909999999999999</v>
      </c>
      <c r="E81">
        <v>79</v>
      </c>
      <c r="F81">
        <v>1.01</v>
      </c>
      <c r="G81">
        <v>1.2190000000000001</v>
      </c>
      <c r="J81">
        <v>15960</v>
      </c>
      <c r="K81">
        <v>18096</v>
      </c>
    </row>
    <row r="82" spans="1:11" x14ac:dyDescent="0.2">
      <c r="A82">
        <v>80</v>
      </c>
      <c r="B82">
        <v>2.6269999999999998</v>
      </c>
      <c r="C82">
        <v>2.82</v>
      </c>
      <c r="E82">
        <v>80</v>
      </c>
      <c r="F82">
        <v>1.016</v>
      </c>
      <c r="G82">
        <v>1.23</v>
      </c>
      <c r="J82">
        <v>16419</v>
      </c>
      <c r="K82">
        <v>16268</v>
      </c>
    </row>
    <row r="83" spans="1:11" x14ac:dyDescent="0.2">
      <c r="A83">
        <v>81</v>
      </c>
      <c r="B83">
        <v>2.6219999999999999</v>
      </c>
      <c r="C83">
        <v>2.7949999999999999</v>
      </c>
      <c r="E83">
        <v>81</v>
      </c>
      <c r="F83">
        <v>1</v>
      </c>
      <c r="G83">
        <v>1.21</v>
      </c>
      <c r="J83">
        <v>15525</v>
      </c>
      <c r="K83">
        <v>18320</v>
      </c>
    </row>
    <row r="84" spans="1:11" x14ac:dyDescent="0.2">
      <c r="A84">
        <v>82</v>
      </c>
      <c r="B84">
        <v>2.6179999999999999</v>
      </c>
      <c r="C84">
        <v>2.7970000000000002</v>
      </c>
      <c r="E84">
        <v>82</v>
      </c>
      <c r="F84">
        <v>0.99099999999999999</v>
      </c>
      <c r="G84">
        <v>1.204</v>
      </c>
      <c r="J84">
        <v>14536</v>
      </c>
      <c r="K84">
        <v>17663</v>
      </c>
    </row>
    <row r="85" spans="1:11" x14ac:dyDescent="0.2">
      <c r="A85">
        <v>83</v>
      </c>
      <c r="B85">
        <v>2.589</v>
      </c>
      <c r="C85">
        <v>2.7639999999999998</v>
      </c>
      <c r="E85">
        <v>83</v>
      </c>
      <c r="F85">
        <v>1.0069999999999999</v>
      </c>
      <c r="G85">
        <v>1.246</v>
      </c>
      <c r="J85">
        <v>16539</v>
      </c>
      <c r="K85">
        <v>18629</v>
      </c>
    </row>
    <row r="86" spans="1:11" x14ac:dyDescent="0.2">
      <c r="A86">
        <v>84</v>
      </c>
      <c r="B86">
        <v>2.633</v>
      </c>
      <c r="C86">
        <v>2.8069999999999999</v>
      </c>
      <c r="E86">
        <v>84</v>
      </c>
      <c r="F86">
        <v>1.032</v>
      </c>
      <c r="G86">
        <v>1.262</v>
      </c>
      <c r="J86">
        <v>14863</v>
      </c>
      <c r="K86">
        <v>16415</v>
      </c>
    </row>
    <row r="87" spans="1:11" x14ac:dyDescent="0.2">
      <c r="A87">
        <v>85</v>
      </c>
      <c r="B87">
        <v>2.6419999999999999</v>
      </c>
      <c r="C87">
        <v>2.827</v>
      </c>
      <c r="E87">
        <v>85</v>
      </c>
      <c r="F87">
        <v>0.99299999999999999</v>
      </c>
      <c r="G87">
        <v>1.216</v>
      </c>
      <c r="J87">
        <v>16232</v>
      </c>
      <c r="K87">
        <v>17413</v>
      </c>
    </row>
    <row r="88" spans="1:11" x14ac:dyDescent="0.2">
      <c r="A88">
        <v>86</v>
      </c>
      <c r="B88">
        <v>2.613</v>
      </c>
      <c r="C88">
        <v>2.8</v>
      </c>
      <c r="E88">
        <v>86</v>
      </c>
      <c r="F88">
        <v>1.0009999999999999</v>
      </c>
      <c r="G88">
        <v>1.208</v>
      </c>
      <c r="J88">
        <v>14902</v>
      </c>
      <c r="K88">
        <v>16668</v>
      </c>
    </row>
    <row r="89" spans="1:11" x14ac:dyDescent="0.2">
      <c r="A89">
        <v>87</v>
      </c>
      <c r="B89">
        <v>2.6150000000000002</v>
      </c>
      <c r="C89">
        <v>2.7869999999999999</v>
      </c>
      <c r="E89">
        <v>87</v>
      </c>
      <c r="F89">
        <v>1.0009999999999999</v>
      </c>
      <c r="G89">
        <v>1.2250000000000001</v>
      </c>
      <c r="J89">
        <v>16212</v>
      </c>
      <c r="K89">
        <v>18584</v>
      </c>
    </row>
    <row r="90" spans="1:11" x14ac:dyDescent="0.2">
      <c r="A90">
        <v>88</v>
      </c>
      <c r="B90">
        <v>2.6669999999999998</v>
      </c>
      <c r="C90">
        <v>2.8540000000000001</v>
      </c>
      <c r="E90">
        <v>88</v>
      </c>
      <c r="F90">
        <v>1.0640000000000001</v>
      </c>
      <c r="G90">
        <v>1.27</v>
      </c>
      <c r="J90">
        <v>14585</v>
      </c>
      <c r="K90">
        <v>17222</v>
      </c>
    </row>
    <row r="91" spans="1:11" x14ac:dyDescent="0.2">
      <c r="A91">
        <v>89</v>
      </c>
      <c r="B91">
        <v>2.6</v>
      </c>
      <c r="C91">
        <v>2.7850000000000001</v>
      </c>
      <c r="E91">
        <v>89</v>
      </c>
      <c r="F91">
        <v>1.0249999999999999</v>
      </c>
      <c r="G91">
        <v>1.232</v>
      </c>
      <c r="J91">
        <v>16470</v>
      </c>
      <c r="K91">
        <v>18553</v>
      </c>
    </row>
    <row r="92" spans="1:11" x14ac:dyDescent="0.2">
      <c r="A92">
        <v>90</v>
      </c>
      <c r="B92">
        <v>2.5870000000000002</v>
      </c>
      <c r="C92">
        <v>2.7570000000000001</v>
      </c>
      <c r="E92">
        <v>90</v>
      </c>
      <c r="F92">
        <v>1.0169999999999999</v>
      </c>
      <c r="G92">
        <v>1.2250000000000001</v>
      </c>
      <c r="J92">
        <v>15661</v>
      </c>
      <c r="K92">
        <v>17727</v>
      </c>
    </row>
    <row r="93" spans="1:11" x14ac:dyDescent="0.2">
      <c r="A93">
        <v>91</v>
      </c>
      <c r="B93">
        <v>2.63</v>
      </c>
      <c r="C93">
        <v>2.8069999999999999</v>
      </c>
      <c r="E93">
        <v>91</v>
      </c>
      <c r="F93">
        <v>1.004</v>
      </c>
      <c r="G93">
        <v>1.2090000000000001</v>
      </c>
      <c r="J93">
        <v>14610</v>
      </c>
      <c r="K93">
        <v>18713</v>
      </c>
    </row>
    <row r="94" spans="1:11" x14ac:dyDescent="0.2">
      <c r="A94">
        <v>92</v>
      </c>
      <c r="B94">
        <v>2.617</v>
      </c>
      <c r="C94">
        <v>2.7919999999999998</v>
      </c>
      <c r="E94">
        <v>92</v>
      </c>
      <c r="F94">
        <v>1.0469999999999999</v>
      </c>
      <c r="G94">
        <v>1.2669999999999999</v>
      </c>
      <c r="J94">
        <v>16151</v>
      </c>
      <c r="K94">
        <v>16783</v>
      </c>
    </row>
    <row r="95" spans="1:11" x14ac:dyDescent="0.2">
      <c r="A95">
        <v>93</v>
      </c>
      <c r="B95">
        <v>2.641</v>
      </c>
      <c r="C95">
        <v>2.8130000000000002</v>
      </c>
      <c r="E95">
        <v>93</v>
      </c>
      <c r="F95">
        <v>1.034</v>
      </c>
      <c r="G95">
        <v>1.2410000000000001</v>
      </c>
      <c r="J95">
        <v>16074</v>
      </c>
      <c r="K95">
        <v>18474</v>
      </c>
    </row>
    <row r="96" spans="1:11" x14ac:dyDescent="0.2">
      <c r="A96">
        <v>94</v>
      </c>
      <c r="B96">
        <v>2.681</v>
      </c>
      <c r="C96">
        <v>2.85</v>
      </c>
      <c r="E96">
        <v>94</v>
      </c>
      <c r="F96">
        <v>1.032</v>
      </c>
      <c r="G96">
        <v>1.24</v>
      </c>
      <c r="J96">
        <v>15824</v>
      </c>
      <c r="K96">
        <v>18967</v>
      </c>
    </row>
    <row r="97" spans="1:11" x14ac:dyDescent="0.2">
      <c r="A97">
        <v>95</v>
      </c>
      <c r="B97">
        <v>2.6139999999999999</v>
      </c>
      <c r="C97">
        <v>2.7890000000000001</v>
      </c>
      <c r="E97">
        <v>95</v>
      </c>
      <c r="F97">
        <v>0.997</v>
      </c>
      <c r="G97">
        <v>1.2030000000000001</v>
      </c>
      <c r="J97">
        <v>16531</v>
      </c>
      <c r="K97">
        <v>18167</v>
      </c>
    </row>
    <row r="98" spans="1:11" x14ac:dyDescent="0.2">
      <c r="A98">
        <v>96</v>
      </c>
      <c r="B98">
        <v>2.581</v>
      </c>
      <c r="C98">
        <v>2.7719999999999998</v>
      </c>
      <c r="E98">
        <v>96</v>
      </c>
      <c r="F98">
        <v>1.0329999999999999</v>
      </c>
      <c r="G98">
        <v>1.2410000000000001</v>
      </c>
      <c r="J98">
        <v>16698</v>
      </c>
      <c r="K98">
        <v>18332</v>
      </c>
    </row>
    <row r="99" spans="1:11" x14ac:dyDescent="0.2">
      <c r="A99">
        <v>97</v>
      </c>
      <c r="B99">
        <v>2.673</v>
      </c>
      <c r="C99">
        <v>2.8639999999999999</v>
      </c>
      <c r="E99">
        <v>97</v>
      </c>
      <c r="F99">
        <v>1.0389999999999999</v>
      </c>
      <c r="G99">
        <v>1.27</v>
      </c>
      <c r="J99">
        <v>16576</v>
      </c>
      <c r="K99">
        <v>18804</v>
      </c>
    </row>
    <row r="100" spans="1:11" x14ac:dyDescent="0.2">
      <c r="A100">
        <v>98</v>
      </c>
      <c r="B100">
        <v>2.5369999999999999</v>
      </c>
      <c r="C100">
        <v>2.7130000000000001</v>
      </c>
      <c r="E100">
        <v>98</v>
      </c>
      <c r="F100">
        <v>1.0309999999999999</v>
      </c>
      <c r="G100">
        <v>1.258</v>
      </c>
      <c r="J100">
        <v>16391</v>
      </c>
      <c r="K100">
        <v>18617</v>
      </c>
    </row>
    <row r="101" spans="1:11" x14ac:dyDescent="0.2">
      <c r="A101">
        <v>99</v>
      </c>
      <c r="B101">
        <v>2.6</v>
      </c>
      <c r="C101">
        <v>2.774</v>
      </c>
      <c r="E101">
        <v>99</v>
      </c>
      <c r="F101">
        <v>1</v>
      </c>
      <c r="G101">
        <v>1.2010000000000001</v>
      </c>
      <c r="J101">
        <v>16246</v>
      </c>
      <c r="K101">
        <v>18616</v>
      </c>
    </row>
    <row r="102" spans="1:11" x14ac:dyDescent="0.2">
      <c r="A102">
        <v>100</v>
      </c>
      <c r="B102">
        <v>2.6669999999999998</v>
      </c>
      <c r="C102">
        <v>2.8490000000000002</v>
      </c>
      <c r="E102">
        <v>100</v>
      </c>
      <c r="F102">
        <v>1.0029999999999999</v>
      </c>
      <c r="G102">
        <v>1.2110000000000001</v>
      </c>
      <c r="J102">
        <v>16070</v>
      </c>
      <c r="K102">
        <v>17051</v>
      </c>
    </row>
    <row r="107" spans="1:11" x14ac:dyDescent="0.2">
      <c r="A107" t="s">
        <v>3</v>
      </c>
      <c r="B107">
        <f>AVERAGE(B3:B106)</f>
        <v>2.6341600000000001</v>
      </c>
      <c r="C107">
        <f>AVERAGE(C3:C106)</f>
        <v>2.8191999999999995</v>
      </c>
      <c r="E107" t="s">
        <v>3</v>
      </c>
      <c r="F107">
        <f t="shared" ref="F107:G107" si="0">AVERAGE(F3:F106)</f>
        <v>1.0131200000000002</v>
      </c>
      <c r="G107">
        <f t="shared" si="0"/>
        <v>1.2267699999999992</v>
      </c>
      <c r="I107" t="s">
        <v>3</v>
      </c>
      <c r="J107">
        <f>AVERAGE(J3:J22)</f>
        <v>15688.8</v>
      </c>
      <c r="K107">
        <f>AVERAGE(K3:K22)</f>
        <v>17872.8</v>
      </c>
    </row>
    <row r="108" spans="1:11" x14ac:dyDescent="0.2">
      <c r="A108" t="s">
        <v>4</v>
      </c>
      <c r="B108">
        <f>MEDIAN(B3:B106)</f>
        <v>2.6215000000000002</v>
      </c>
      <c r="C108">
        <f>MEDIAN(C3:C106)</f>
        <v>2.8069999999999999</v>
      </c>
      <c r="E108" t="s">
        <v>4</v>
      </c>
      <c r="F108">
        <f t="shared" ref="F108:G108" si="1">MEDIAN(F3:F106)</f>
        <v>1.006</v>
      </c>
      <c r="G108">
        <f t="shared" si="1"/>
        <v>1.2215</v>
      </c>
      <c r="I108" t="s">
        <v>4</v>
      </c>
      <c r="J108">
        <f>MEDIAN(J3:J22)</f>
        <v>15876</v>
      </c>
      <c r="K108">
        <f>MEDIAN(K3:K22)</f>
        <v>18197</v>
      </c>
    </row>
  </sheetData>
  <mergeCells count="2">
    <mergeCell ref="B1:C1"/>
    <mergeCell ref="F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F77F-2E80-EA42-889E-2C69BBF60CD8}">
  <dimension ref="A1:O108"/>
  <sheetViews>
    <sheetView tabSelected="1" workbookViewId="0">
      <selection activeCell="V28" sqref="V28"/>
    </sheetView>
  </sheetViews>
  <sheetFormatPr baseColWidth="10" defaultRowHeight="16" x14ac:dyDescent="0.2"/>
  <cols>
    <col min="1" max="1" width="8.1640625" bestFit="1" customWidth="1"/>
    <col min="2" max="2" width="14.5" bestFit="1" customWidth="1"/>
    <col min="3" max="3" width="22.1640625" bestFit="1" customWidth="1"/>
    <col min="5" max="5" width="8.1640625" bestFit="1" customWidth="1"/>
    <col min="6" max="6" width="14.5" bestFit="1" customWidth="1"/>
    <col min="7" max="7" width="22.1640625" bestFit="1" customWidth="1"/>
    <col min="10" max="10" width="9.33203125" bestFit="1" customWidth="1"/>
    <col min="12" max="13" width="11.5" bestFit="1" customWidth="1"/>
  </cols>
  <sheetData>
    <row r="1" spans="1:15" x14ac:dyDescent="0.2">
      <c r="B1" s="2" t="s">
        <v>6</v>
      </c>
      <c r="C1" s="2"/>
      <c r="F1" s="2" t="s">
        <v>7</v>
      </c>
      <c r="G1" s="2"/>
      <c r="J1" t="s">
        <v>6</v>
      </c>
      <c r="K1" t="s">
        <v>7</v>
      </c>
      <c r="L1" t="s">
        <v>6</v>
      </c>
      <c r="M1" t="s">
        <v>7</v>
      </c>
      <c r="N1" t="s">
        <v>9</v>
      </c>
    </row>
    <row r="2" spans="1:15" x14ac:dyDescent="0.2">
      <c r="A2" t="s">
        <v>10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J2" t="s">
        <v>5</v>
      </c>
      <c r="K2" t="s">
        <v>5</v>
      </c>
      <c r="L2" t="s">
        <v>8</v>
      </c>
      <c r="M2" t="s">
        <v>8</v>
      </c>
      <c r="N2" t="s">
        <v>8</v>
      </c>
    </row>
    <row r="3" spans="1:15" x14ac:dyDescent="0.2">
      <c r="A3">
        <v>1</v>
      </c>
      <c r="B3">
        <v>3.1080000000000001</v>
      </c>
      <c r="C3">
        <v>3.415</v>
      </c>
      <c r="E3">
        <v>1</v>
      </c>
      <c r="F3">
        <v>2.0430000000000001</v>
      </c>
      <c r="G3">
        <v>2.2789999999999999</v>
      </c>
      <c r="J3">
        <v>5153</v>
      </c>
      <c r="K3">
        <v>5144</v>
      </c>
      <c r="L3">
        <f>B107</f>
        <v>3.1915899999999993</v>
      </c>
      <c r="M3">
        <f>F107</f>
        <v>2.0787499999999999</v>
      </c>
      <c r="N3" s="1">
        <f>(M3-L3)/L3</f>
        <v>-0.34867887165958023</v>
      </c>
      <c r="O3" t="s">
        <v>12</v>
      </c>
    </row>
    <row r="4" spans="1:15" x14ac:dyDescent="0.2">
      <c r="A4">
        <v>2</v>
      </c>
      <c r="B4">
        <v>3.0640000000000001</v>
      </c>
      <c r="C4">
        <v>3.3530000000000002</v>
      </c>
      <c r="E4">
        <v>2</v>
      </c>
      <c r="F4">
        <v>2.056</v>
      </c>
      <c r="G4">
        <v>2.3029999999999999</v>
      </c>
      <c r="J4">
        <v>5723</v>
      </c>
      <c r="K4">
        <v>5420</v>
      </c>
      <c r="N4" t="s">
        <v>5</v>
      </c>
    </row>
    <row r="5" spans="1:15" x14ac:dyDescent="0.2">
      <c r="A5">
        <v>3</v>
      </c>
      <c r="B5">
        <v>3.2570000000000001</v>
      </c>
      <c r="C5">
        <v>3.5529999999999999</v>
      </c>
      <c r="E5">
        <v>3</v>
      </c>
      <c r="F5">
        <v>2.0720000000000001</v>
      </c>
      <c r="G5">
        <v>2.306</v>
      </c>
      <c r="J5">
        <v>5751</v>
      </c>
      <c r="K5">
        <v>5845</v>
      </c>
      <c r="N5" s="1">
        <f>(K107-J107)/J107</f>
        <v>1.9823183790017056E-2</v>
      </c>
      <c r="O5" t="s">
        <v>11</v>
      </c>
    </row>
    <row r="6" spans="1:15" x14ac:dyDescent="0.2">
      <c r="A6">
        <v>4</v>
      </c>
      <c r="B6">
        <v>3.5</v>
      </c>
      <c r="C6">
        <v>3.8759999999999999</v>
      </c>
      <c r="E6">
        <v>4</v>
      </c>
      <c r="F6">
        <v>2.0339999999999998</v>
      </c>
      <c r="G6">
        <v>2.274</v>
      </c>
      <c r="J6">
        <v>5303</v>
      </c>
      <c r="K6">
        <v>5663</v>
      </c>
    </row>
    <row r="7" spans="1:15" x14ac:dyDescent="0.2">
      <c r="A7">
        <v>5</v>
      </c>
      <c r="B7">
        <v>3.0870000000000002</v>
      </c>
      <c r="C7">
        <v>3.3980000000000001</v>
      </c>
      <c r="E7">
        <v>5</v>
      </c>
      <c r="F7">
        <v>2.081</v>
      </c>
      <c r="G7">
        <v>2.3279999999999998</v>
      </c>
      <c r="J7">
        <v>5070</v>
      </c>
      <c r="K7">
        <v>5654</v>
      </c>
    </row>
    <row r="8" spans="1:15" x14ac:dyDescent="0.2">
      <c r="A8">
        <v>6</v>
      </c>
      <c r="B8">
        <v>3.6080000000000001</v>
      </c>
      <c r="C8">
        <v>3.907</v>
      </c>
      <c r="E8">
        <v>6</v>
      </c>
      <c r="F8">
        <v>2.0449999999999999</v>
      </c>
      <c r="G8">
        <v>2.2789999999999999</v>
      </c>
      <c r="J8">
        <v>5961</v>
      </c>
      <c r="K8">
        <v>5501</v>
      </c>
    </row>
    <row r="9" spans="1:15" x14ac:dyDescent="0.2">
      <c r="A9">
        <v>7</v>
      </c>
      <c r="B9">
        <v>3.331</v>
      </c>
      <c r="C9">
        <v>3.6160000000000001</v>
      </c>
      <c r="E9">
        <v>7</v>
      </c>
      <c r="F9">
        <v>2.0739999999999998</v>
      </c>
      <c r="G9">
        <v>2.2989999999999999</v>
      </c>
      <c r="J9">
        <v>5764</v>
      </c>
      <c r="K9">
        <v>5909</v>
      </c>
    </row>
    <row r="10" spans="1:15" x14ac:dyDescent="0.2">
      <c r="A10">
        <v>8</v>
      </c>
      <c r="B10">
        <v>3.2210000000000001</v>
      </c>
      <c r="C10">
        <v>3.4969999999999999</v>
      </c>
      <c r="E10">
        <v>8</v>
      </c>
      <c r="F10">
        <v>2.0920000000000001</v>
      </c>
      <c r="G10">
        <v>2.3260000000000001</v>
      </c>
      <c r="J10">
        <v>5300</v>
      </c>
      <c r="K10">
        <v>5861</v>
      </c>
    </row>
    <row r="11" spans="1:15" x14ac:dyDescent="0.2">
      <c r="A11">
        <v>9</v>
      </c>
      <c r="B11">
        <v>3.202</v>
      </c>
      <c r="C11">
        <v>3.4860000000000002</v>
      </c>
      <c r="E11">
        <v>9</v>
      </c>
      <c r="F11">
        <v>2.0249999999999999</v>
      </c>
      <c r="G11">
        <v>2.2679999999999998</v>
      </c>
      <c r="J11">
        <v>5587</v>
      </c>
      <c r="K11">
        <v>5853</v>
      </c>
    </row>
    <row r="12" spans="1:15" x14ac:dyDescent="0.2">
      <c r="A12">
        <v>10</v>
      </c>
      <c r="B12">
        <v>3.1160000000000001</v>
      </c>
      <c r="C12">
        <v>3.4239999999999999</v>
      </c>
      <c r="E12">
        <v>10</v>
      </c>
      <c r="F12">
        <v>2.0190000000000001</v>
      </c>
      <c r="G12">
        <v>2.2400000000000002</v>
      </c>
      <c r="J12">
        <v>5693</v>
      </c>
      <c r="K12">
        <v>5798</v>
      </c>
    </row>
    <row r="13" spans="1:15" x14ac:dyDescent="0.2">
      <c r="A13">
        <v>11</v>
      </c>
      <c r="B13">
        <v>3.1720000000000002</v>
      </c>
      <c r="C13">
        <v>3.5230000000000001</v>
      </c>
      <c r="E13">
        <v>11</v>
      </c>
      <c r="F13">
        <v>2.028</v>
      </c>
      <c r="G13">
        <v>2.2450000000000001</v>
      </c>
      <c r="J13">
        <v>5103</v>
      </c>
      <c r="K13">
        <v>5197</v>
      </c>
    </row>
    <row r="14" spans="1:15" x14ac:dyDescent="0.2">
      <c r="A14">
        <v>12</v>
      </c>
      <c r="B14">
        <v>3.274</v>
      </c>
      <c r="C14">
        <v>3.5569999999999999</v>
      </c>
      <c r="E14">
        <v>12</v>
      </c>
      <c r="F14">
        <v>2.0510000000000002</v>
      </c>
      <c r="G14">
        <v>2.2909999999999999</v>
      </c>
      <c r="J14">
        <v>5509</v>
      </c>
      <c r="K14">
        <v>4539</v>
      </c>
    </row>
    <row r="15" spans="1:15" x14ac:dyDescent="0.2">
      <c r="A15">
        <v>13</v>
      </c>
      <c r="B15">
        <v>3.57</v>
      </c>
      <c r="C15">
        <v>3.9889999999999999</v>
      </c>
      <c r="E15">
        <v>13</v>
      </c>
      <c r="F15">
        <v>2.028</v>
      </c>
      <c r="G15">
        <v>2.2650000000000001</v>
      </c>
      <c r="J15">
        <v>5599</v>
      </c>
      <c r="K15">
        <v>5720</v>
      </c>
    </row>
    <row r="16" spans="1:15" x14ac:dyDescent="0.2">
      <c r="A16">
        <v>14</v>
      </c>
      <c r="B16">
        <v>3.0859999999999999</v>
      </c>
      <c r="C16">
        <v>3.387</v>
      </c>
      <c r="E16">
        <v>14</v>
      </c>
      <c r="F16">
        <v>2.0310000000000001</v>
      </c>
      <c r="G16">
        <v>2.2599999999999998</v>
      </c>
      <c r="J16">
        <v>5416</v>
      </c>
      <c r="K16">
        <v>5675</v>
      </c>
    </row>
    <row r="17" spans="1:11" x14ac:dyDescent="0.2">
      <c r="A17">
        <v>15</v>
      </c>
      <c r="B17">
        <v>3.0230000000000001</v>
      </c>
      <c r="C17">
        <v>3.3180000000000001</v>
      </c>
      <c r="E17">
        <v>15</v>
      </c>
      <c r="F17">
        <v>2.0640000000000001</v>
      </c>
      <c r="G17">
        <v>2.29</v>
      </c>
      <c r="J17">
        <v>5306</v>
      </c>
      <c r="K17">
        <v>5540</v>
      </c>
    </row>
    <row r="18" spans="1:11" x14ac:dyDescent="0.2">
      <c r="A18">
        <v>16</v>
      </c>
      <c r="B18">
        <v>3.0539999999999998</v>
      </c>
      <c r="C18">
        <v>3.3540000000000001</v>
      </c>
      <c r="E18">
        <v>16</v>
      </c>
      <c r="F18">
        <v>2.0489999999999999</v>
      </c>
      <c r="G18">
        <v>2.286</v>
      </c>
      <c r="J18">
        <v>5151</v>
      </c>
      <c r="K18">
        <v>5672</v>
      </c>
    </row>
    <row r="19" spans="1:11" x14ac:dyDescent="0.2">
      <c r="A19">
        <v>17</v>
      </c>
      <c r="B19">
        <v>3.052</v>
      </c>
      <c r="C19">
        <v>3.3340000000000001</v>
      </c>
      <c r="E19">
        <v>17</v>
      </c>
      <c r="F19">
        <v>2.0219999999999998</v>
      </c>
      <c r="G19">
        <v>2.246</v>
      </c>
      <c r="J19">
        <v>5978</v>
      </c>
      <c r="K19">
        <v>5779</v>
      </c>
    </row>
    <row r="20" spans="1:11" x14ac:dyDescent="0.2">
      <c r="A20">
        <v>18</v>
      </c>
      <c r="B20">
        <v>3.1139999999999999</v>
      </c>
      <c r="C20">
        <v>3.4119999999999999</v>
      </c>
      <c r="E20">
        <v>18</v>
      </c>
      <c r="F20">
        <v>2.1160000000000001</v>
      </c>
      <c r="G20">
        <v>2.3410000000000002</v>
      </c>
      <c r="J20">
        <v>5122</v>
      </c>
      <c r="K20">
        <v>5689</v>
      </c>
    </row>
    <row r="21" spans="1:11" x14ac:dyDescent="0.2">
      <c r="A21">
        <v>19</v>
      </c>
      <c r="B21">
        <v>3.07</v>
      </c>
      <c r="C21">
        <v>3.3570000000000002</v>
      </c>
      <c r="E21">
        <v>19</v>
      </c>
      <c r="F21">
        <v>2.048</v>
      </c>
      <c r="G21">
        <v>2.2759999999999998</v>
      </c>
      <c r="J21">
        <v>5354</v>
      </c>
      <c r="K21">
        <v>5545</v>
      </c>
    </row>
    <row r="22" spans="1:11" x14ac:dyDescent="0.2">
      <c r="A22">
        <v>20</v>
      </c>
      <c r="B22">
        <v>3.069</v>
      </c>
      <c r="C22">
        <v>3.3450000000000002</v>
      </c>
      <c r="E22">
        <v>20</v>
      </c>
      <c r="F22">
        <v>2.0099999999999998</v>
      </c>
      <c r="G22">
        <v>2.234</v>
      </c>
      <c r="J22">
        <v>5423</v>
      </c>
      <c r="K22">
        <v>5428</v>
      </c>
    </row>
    <row r="23" spans="1:11" x14ac:dyDescent="0.2">
      <c r="A23">
        <v>21</v>
      </c>
      <c r="B23">
        <v>3.1139999999999999</v>
      </c>
      <c r="C23">
        <v>3.399</v>
      </c>
      <c r="E23">
        <v>21</v>
      </c>
      <c r="F23">
        <v>2.113</v>
      </c>
      <c r="G23">
        <v>2.3370000000000002</v>
      </c>
      <c r="J23">
        <v>5704</v>
      </c>
      <c r="K23">
        <v>5543</v>
      </c>
    </row>
    <row r="24" spans="1:11" x14ac:dyDescent="0.2">
      <c r="A24">
        <v>22</v>
      </c>
      <c r="B24">
        <v>3.2949999999999999</v>
      </c>
      <c r="C24">
        <v>3.5680000000000001</v>
      </c>
      <c r="E24">
        <v>22</v>
      </c>
      <c r="F24">
        <v>2.0129999999999999</v>
      </c>
      <c r="G24">
        <v>2.2370000000000001</v>
      </c>
      <c r="J24">
        <v>5726</v>
      </c>
      <c r="K24">
        <v>5373</v>
      </c>
    </row>
    <row r="25" spans="1:11" x14ac:dyDescent="0.2">
      <c r="A25">
        <v>23</v>
      </c>
      <c r="B25">
        <v>3.073</v>
      </c>
      <c r="C25">
        <v>3.4159999999999999</v>
      </c>
      <c r="E25">
        <v>23</v>
      </c>
      <c r="F25">
        <v>2.0590000000000002</v>
      </c>
      <c r="G25">
        <v>2.2890000000000001</v>
      </c>
      <c r="J25">
        <v>5646</v>
      </c>
      <c r="K25">
        <v>5672</v>
      </c>
    </row>
    <row r="26" spans="1:11" x14ac:dyDescent="0.2">
      <c r="A26">
        <v>24</v>
      </c>
      <c r="B26">
        <v>3.081</v>
      </c>
      <c r="C26">
        <v>3.363</v>
      </c>
      <c r="E26">
        <v>24</v>
      </c>
      <c r="F26">
        <v>2.0329999999999999</v>
      </c>
      <c r="G26">
        <v>2.2629999999999999</v>
      </c>
      <c r="J26">
        <v>5032</v>
      </c>
      <c r="K26">
        <v>5423</v>
      </c>
    </row>
    <row r="27" spans="1:11" x14ac:dyDescent="0.2">
      <c r="A27">
        <v>25</v>
      </c>
      <c r="B27">
        <v>3.1760000000000002</v>
      </c>
      <c r="C27">
        <v>3.4590000000000001</v>
      </c>
      <c r="E27">
        <v>25</v>
      </c>
      <c r="F27">
        <v>2.0409999999999999</v>
      </c>
      <c r="G27">
        <v>2.29</v>
      </c>
      <c r="J27">
        <v>5487</v>
      </c>
      <c r="K27">
        <v>5267</v>
      </c>
    </row>
    <row r="28" spans="1:11" x14ac:dyDescent="0.2">
      <c r="A28">
        <v>26</v>
      </c>
      <c r="B28">
        <v>3.3</v>
      </c>
      <c r="C28">
        <v>3.5739999999999998</v>
      </c>
      <c r="E28">
        <v>26</v>
      </c>
      <c r="F28">
        <v>2.0510000000000002</v>
      </c>
      <c r="G28">
        <v>2.2749999999999999</v>
      </c>
      <c r="J28">
        <v>5403</v>
      </c>
      <c r="K28">
        <v>5810</v>
      </c>
    </row>
    <row r="29" spans="1:11" x14ac:dyDescent="0.2">
      <c r="A29">
        <v>27</v>
      </c>
      <c r="B29">
        <v>3.1880000000000002</v>
      </c>
      <c r="C29">
        <v>3.4660000000000002</v>
      </c>
      <c r="E29">
        <v>27</v>
      </c>
      <c r="F29">
        <v>2.0259999999999998</v>
      </c>
      <c r="G29">
        <v>2.2509999999999999</v>
      </c>
      <c r="J29">
        <v>5814</v>
      </c>
      <c r="K29">
        <v>5838</v>
      </c>
    </row>
    <row r="30" spans="1:11" x14ac:dyDescent="0.2">
      <c r="A30">
        <v>28</v>
      </c>
      <c r="B30">
        <v>3.4089999999999998</v>
      </c>
      <c r="C30">
        <v>3.694</v>
      </c>
      <c r="E30">
        <v>28</v>
      </c>
      <c r="F30">
        <v>2.1429999999999998</v>
      </c>
      <c r="G30">
        <v>2.395</v>
      </c>
      <c r="J30">
        <v>5242</v>
      </c>
      <c r="K30">
        <v>5305</v>
      </c>
    </row>
    <row r="31" spans="1:11" x14ac:dyDescent="0.2">
      <c r="A31">
        <v>29</v>
      </c>
      <c r="B31">
        <v>3.2639999999999998</v>
      </c>
      <c r="C31">
        <v>3.5910000000000002</v>
      </c>
      <c r="E31">
        <v>29</v>
      </c>
      <c r="F31">
        <v>2.0350000000000001</v>
      </c>
      <c r="G31">
        <v>2.2759999999999998</v>
      </c>
      <c r="J31">
        <v>5447</v>
      </c>
      <c r="K31">
        <v>6055</v>
      </c>
    </row>
    <row r="32" spans="1:11" x14ac:dyDescent="0.2">
      <c r="A32">
        <v>30</v>
      </c>
      <c r="B32">
        <v>3.2789999999999999</v>
      </c>
      <c r="C32">
        <v>3.5739999999999998</v>
      </c>
      <c r="E32">
        <v>30</v>
      </c>
      <c r="F32">
        <v>2.0350000000000001</v>
      </c>
      <c r="G32">
        <v>2.2559999999999998</v>
      </c>
      <c r="J32">
        <v>5838</v>
      </c>
      <c r="K32">
        <v>5833</v>
      </c>
    </row>
    <row r="33" spans="1:11" x14ac:dyDescent="0.2">
      <c r="A33">
        <v>31</v>
      </c>
      <c r="B33">
        <v>3.3210000000000002</v>
      </c>
      <c r="C33">
        <v>3.6240000000000001</v>
      </c>
      <c r="E33">
        <v>31</v>
      </c>
      <c r="F33">
        <v>2.121</v>
      </c>
      <c r="G33">
        <v>2.3460000000000001</v>
      </c>
      <c r="J33">
        <v>5760</v>
      </c>
      <c r="K33">
        <v>5979</v>
      </c>
    </row>
    <row r="34" spans="1:11" x14ac:dyDescent="0.2">
      <c r="A34">
        <v>32</v>
      </c>
      <c r="B34">
        <v>3.3039999999999998</v>
      </c>
      <c r="C34">
        <v>3.6179999999999999</v>
      </c>
      <c r="E34">
        <v>32</v>
      </c>
      <c r="F34">
        <v>2.024</v>
      </c>
      <c r="G34">
        <v>2.2650000000000001</v>
      </c>
      <c r="J34">
        <v>5591</v>
      </c>
      <c r="K34">
        <v>5687</v>
      </c>
    </row>
    <row r="35" spans="1:11" x14ac:dyDescent="0.2">
      <c r="A35">
        <v>33</v>
      </c>
      <c r="B35">
        <v>3.1059999999999999</v>
      </c>
      <c r="C35">
        <v>3.4039999999999999</v>
      </c>
      <c r="E35">
        <v>33</v>
      </c>
      <c r="F35">
        <v>2.0129999999999999</v>
      </c>
      <c r="G35">
        <v>2.2349999999999999</v>
      </c>
      <c r="J35">
        <v>5596</v>
      </c>
      <c r="K35">
        <v>5201</v>
      </c>
    </row>
    <row r="36" spans="1:11" x14ac:dyDescent="0.2">
      <c r="A36">
        <v>34</v>
      </c>
      <c r="B36">
        <v>3.1080000000000001</v>
      </c>
      <c r="C36">
        <v>3.4569999999999999</v>
      </c>
      <c r="E36">
        <v>34</v>
      </c>
      <c r="F36">
        <v>2.0750000000000002</v>
      </c>
      <c r="G36">
        <v>2.3029999999999999</v>
      </c>
      <c r="J36">
        <v>5580</v>
      </c>
      <c r="K36">
        <v>5781</v>
      </c>
    </row>
    <row r="37" spans="1:11" x14ac:dyDescent="0.2">
      <c r="A37">
        <v>35</v>
      </c>
      <c r="B37">
        <v>3.1190000000000002</v>
      </c>
      <c r="C37">
        <v>3.4369999999999998</v>
      </c>
      <c r="E37">
        <v>35</v>
      </c>
      <c r="F37">
        <v>2.1800000000000002</v>
      </c>
      <c r="G37">
        <v>2.4470000000000001</v>
      </c>
      <c r="J37">
        <v>5596</v>
      </c>
      <c r="K37">
        <v>5463</v>
      </c>
    </row>
    <row r="38" spans="1:11" x14ac:dyDescent="0.2">
      <c r="A38">
        <v>36</v>
      </c>
      <c r="B38">
        <v>3.1040000000000001</v>
      </c>
      <c r="C38">
        <v>3.4060000000000001</v>
      </c>
      <c r="E38">
        <v>36</v>
      </c>
      <c r="F38">
        <v>2.3980000000000001</v>
      </c>
      <c r="G38">
        <v>2.7149999999999999</v>
      </c>
      <c r="J38">
        <v>5756</v>
      </c>
      <c r="K38">
        <v>5771</v>
      </c>
    </row>
    <row r="39" spans="1:11" x14ac:dyDescent="0.2">
      <c r="A39">
        <v>37</v>
      </c>
      <c r="B39">
        <v>3.1150000000000002</v>
      </c>
      <c r="C39">
        <v>3.4239999999999999</v>
      </c>
      <c r="E39">
        <v>37</v>
      </c>
      <c r="F39">
        <v>2.222</v>
      </c>
      <c r="G39">
        <v>2.484</v>
      </c>
      <c r="J39">
        <v>5695</v>
      </c>
      <c r="K39">
        <v>5837</v>
      </c>
    </row>
    <row r="40" spans="1:11" x14ac:dyDescent="0.2">
      <c r="A40">
        <v>38</v>
      </c>
      <c r="B40">
        <v>3.1890000000000001</v>
      </c>
      <c r="C40">
        <v>3.4769999999999999</v>
      </c>
      <c r="E40">
        <v>38</v>
      </c>
      <c r="F40">
        <v>2.2490000000000001</v>
      </c>
      <c r="G40">
        <v>2.4900000000000002</v>
      </c>
      <c r="J40">
        <v>5255</v>
      </c>
      <c r="K40">
        <v>5917</v>
      </c>
    </row>
    <row r="41" spans="1:11" x14ac:dyDescent="0.2">
      <c r="A41">
        <v>39</v>
      </c>
      <c r="B41">
        <v>3.274</v>
      </c>
      <c r="C41">
        <v>3.5569999999999999</v>
      </c>
      <c r="E41">
        <v>39</v>
      </c>
      <c r="F41">
        <v>2.19</v>
      </c>
      <c r="G41">
        <v>2.4569999999999999</v>
      </c>
      <c r="J41">
        <v>5164</v>
      </c>
      <c r="K41">
        <v>5723</v>
      </c>
    </row>
    <row r="42" spans="1:11" x14ac:dyDescent="0.2">
      <c r="A42">
        <v>40</v>
      </c>
      <c r="B42">
        <v>3.1739999999999999</v>
      </c>
      <c r="C42">
        <v>3.4689999999999999</v>
      </c>
      <c r="E42">
        <v>40</v>
      </c>
      <c r="F42">
        <v>2.145</v>
      </c>
      <c r="G42">
        <v>2.3820000000000001</v>
      </c>
      <c r="J42">
        <v>5388</v>
      </c>
      <c r="K42">
        <v>5905</v>
      </c>
    </row>
    <row r="43" spans="1:11" x14ac:dyDescent="0.2">
      <c r="A43">
        <v>41</v>
      </c>
      <c r="B43">
        <v>3.2360000000000002</v>
      </c>
      <c r="C43">
        <v>3.5169999999999999</v>
      </c>
      <c r="E43">
        <v>41</v>
      </c>
      <c r="F43">
        <v>2.0710000000000002</v>
      </c>
      <c r="G43">
        <v>2.3090000000000002</v>
      </c>
      <c r="J43">
        <v>5535</v>
      </c>
      <c r="K43">
        <v>5554</v>
      </c>
    </row>
    <row r="44" spans="1:11" x14ac:dyDescent="0.2">
      <c r="A44">
        <v>42</v>
      </c>
      <c r="B44">
        <v>3.165</v>
      </c>
      <c r="C44">
        <v>3.4649999999999999</v>
      </c>
      <c r="E44">
        <v>42</v>
      </c>
      <c r="F44">
        <v>2.1230000000000002</v>
      </c>
      <c r="G44">
        <v>2.3479999999999999</v>
      </c>
      <c r="J44">
        <v>5433</v>
      </c>
      <c r="K44">
        <v>5726</v>
      </c>
    </row>
    <row r="45" spans="1:11" x14ac:dyDescent="0.2">
      <c r="A45">
        <v>43</v>
      </c>
      <c r="B45">
        <v>3.1480000000000001</v>
      </c>
      <c r="C45">
        <v>3.4740000000000002</v>
      </c>
      <c r="E45">
        <v>43</v>
      </c>
      <c r="F45">
        <v>2.234</v>
      </c>
      <c r="G45">
        <v>2.4790000000000001</v>
      </c>
      <c r="J45">
        <v>5835</v>
      </c>
      <c r="K45">
        <v>5631</v>
      </c>
    </row>
    <row r="46" spans="1:11" x14ac:dyDescent="0.2">
      <c r="A46">
        <v>44</v>
      </c>
      <c r="B46">
        <v>3.2490000000000001</v>
      </c>
      <c r="C46">
        <v>3.5659999999999998</v>
      </c>
      <c r="E46">
        <v>44</v>
      </c>
      <c r="F46">
        <v>2.1869999999999998</v>
      </c>
      <c r="G46">
        <v>2.4300000000000002</v>
      </c>
      <c r="J46">
        <v>5686</v>
      </c>
      <c r="K46">
        <v>5821</v>
      </c>
    </row>
    <row r="47" spans="1:11" x14ac:dyDescent="0.2">
      <c r="A47">
        <v>45</v>
      </c>
      <c r="B47">
        <v>3.177</v>
      </c>
      <c r="C47">
        <v>3.492</v>
      </c>
      <c r="E47">
        <v>45</v>
      </c>
      <c r="F47">
        <v>2.2189999999999999</v>
      </c>
      <c r="G47">
        <v>2.464</v>
      </c>
      <c r="J47">
        <v>5767</v>
      </c>
      <c r="K47">
        <v>5847</v>
      </c>
    </row>
    <row r="48" spans="1:11" x14ac:dyDescent="0.2">
      <c r="A48">
        <v>46</v>
      </c>
      <c r="B48">
        <v>3.1379999999999999</v>
      </c>
      <c r="C48">
        <v>3.4340000000000002</v>
      </c>
      <c r="E48">
        <v>46</v>
      </c>
      <c r="F48">
        <v>2.17</v>
      </c>
      <c r="G48">
        <v>2.4079999999999999</v>
      </c>
      <c r="J48">
        <v>5499</v>
      </c>
      <c r="K48">
        <v>5805</v>
      </c>
    </row>
    <row r="49" spans="1:11" x14ac:dyDescent="0.2">
      <c r="A49">
        <v>47</v>
      </c>
      <c r="B49">
        <v>3.2360000000000002</v>
      </c>
      <c r="C49">
        <v>3.54</v>
      </c>
      <c r="E49">
        <v>47</v>
      </c>
      <c r="F49">
        <v>2.327</v>
      </c>
      <c r="G49">
        <v>2.593</v>
      </c>
      <c r="J49">
        <v>5651</v>
      </c>
      <c r="K49">
        <v>5883</v>
      </c>
    </row>
    <row r="50" spans="1:11" x14ac:dyDescent="0.2">
      <c r="A50">
        <v>48</v>
      </c>
      <c r="B50">
        <v>3.1459999999999999</v>
      </c>
      <c r="C50">
        <v>3.4489999999999998</v>
      </c>
      <c r="E50">
        <v>48</v>
      </c>
      <c r="F50">
        <v>2.1720000000000002</v>
      </c>
      <c r="G50">
        <v>2.4180000000000001</v>
      </c>
      <c r="J50">
        <v>5483</v>
      </c>
      <c r="K50">
        <v>5773</v>
      </c>
    </row>
    <row r="51" spans="1:11" x14ac:dyDescent="0.2">
      <c r="A51">
        <v>49</v>
      </c>
      <c r="B51">
        <v>3.1080000000000001</v>
      </c>
      <c r="C51">
        <v>3.4129999999999998</v>
      </c>
      <c r="E51">
        <v>49</v>
      </c>
      <c r="F51">
        <v>2.089</v>
      </c>
      <c r="G51">
        <v>2.3479999999999999</v>
      </c>
      <c r="J51">
        <v>5734</v>
      </c>
      <c r="K51">
        <v>5835</v>
      </c>
    </row>
    <row r="52" spans="1:11" x14ac:dyDescent="0.2">
      <c r="A52">
        <v>50</v>
      </c>
      <c r="B52">
        <v>3.1619999999999999</v>
      </c>
      <c r="C52">
        <v>3.4809999999999999</v>
      </c>
      <c r="E52">
        <v>50</v>
      </c>
      <c r="F52">
        <v>2.0379999999999998</v>
      </c>
      <c r="G52">
        <v>2.2629999999999999</v>
      </c>
      <c r="J52">
        <v>5334</v>
      </c>
      <c r="K52">
        <v>5804</v>
      </c>
    </row>
    <row r="53" spans="1:11" x14ac:dyDescent="0.2">
      <c r="A53">
        <v>51</v>
      </c>
      <c r="B53">
        <v>3.258</v>
      </c>
      <c r="C53">
        <v>3.5510000000000002</v>
      </c>
      <c r="E53">
        <v>51</v>
      </c>
      <c r="F53">
        <v>2.036</v>
      </c>
      <c r="G53">
        <v>2.2589999999999999</v>
      </c>
      <c r="J53">
        <v>5518</v>
      </c>
      <c r="K53">
        <v>5755</v>
      </c>
    </row>
    <row r="54" spans="1:11" x14ac:dyDescent="0.2">
      <c r="A54">
        <v>52</v>
      </c>
      <c r="B54">
        <v>3.202</v>
      </c>
      <c r="C54">
        <v>3.4870000000000001</v>
      </c>
      <c r="E54">
        <v>52</v>
      </c>
      <c r="F54">
        <v>2.0249999999999999</v>
      </c>
      <c r="G54">
        <v>2.2639999999999998</v>
      </c>
      <c r="J54">
        <v>5708</v>
      </c>
      <c r="K54">
        <v>5903</v>
      </c>
    </row>
    <row r="55" spans="1:11" x14ac:dyDescent="0.2">
      <c r="A55">
        <v>53</v>
      </c>
      <c r="B55">
        <v>3.113</v>
      </c>
      <c r="C55">
        <v>3.4180000000000001</v>
      </c>
      <c r="E55">
        <v>53</v>
      </c>
      <c r="F55">
        <v>2.0459999999999998</v>
      </c>
      <c r="G55">
        <v>2.2749999999999999</v>
      </c>
      <c r="J55">
        <v>5580</v>
      </c>
      <c r="K55">
        <v>5571</v>
      </c>
    </row>
    <row r="56" spans="1:11" x14ac:dyDescent="0.2">
      <c r="A56">
        <v>54</v>
      </c>
      <c r="B56">
        <v>3.1970000000000001</v>
      </c>
      <c r="C56">
        <v>3.4820000000000002</v>
      </c>
      <c r="E56">
        <v>54</v>
      </c>
      <c r="F56">
        <v>2.105</v>
      </c>
      <c r="G56">
        <v>2.339</v>
      </c>
      <c r="J56">
        <v>5518</v>
      </c>
      <c r="K56">
        <v>5898</v>
      </c>
    </row>
    <row r="57" spans="1:11" x14ac:dyDescent="0.2">
      <c r="A57">
        <v>55</v>
      </c>
      <c r="B57">
        <v>3.343</v>
      </c>
      <c r="C57">
        <v>3.653</v>
      </c>
      <c r="E57">
        <v>55</v>
      </c>
      <c r="F57">
        <v>2.0830000000000002</v>
      </c>
      <c r="G57">
        <v>2.3069999999999999</v>
      </c>
      <c r="J57">
        <v>5773</v>
      </c>
      <c r="K57">
        <v>5971</v>
      </c>
    </row>
    <row r="58" spans="1:11" x14ac:dyDescent="0.2">
      <c r="A58">
        <v>56</v>
      </c>
      <c r="B58">
        <v>3.1850000000000001</v>
      </c>
      <c r="C58">
        <v>3.4950000000000001</v>
      </c>
      <c r="E58">
        <v>56</v>
      </c>
      <c r="F58">
        <v>2.0350000000000001</v>
      </c>
      <c r="G58">
        <v>2.258</v>
      </c>
      <c r="J58">
        <v>5456</v>
      </c>
      <c r="K58">
        <v>5561</v>
      </c>
    </row>
    <row r="59" spans="1:11" x14ac:dyDescent="0.2">
      <c r="A59">
        <v>57</v>
      </c>
      <c r="B59">
        <v>3.1930000000000001</v>
      </c>
      <c r="C59">
        <v>3.504</v>
      </c>
      <c r="E59">
        <v>57</v>
      </c>
      <c r="F59">
        <v>2.1219999999999999</v>
      </c>
      <c r="G59">
        <v>2.3460000000000001</v>
      </c>
      <c r="J59">
        <v>5917</v>
      </c>
      <c r="K59">
        <v>5644</v>
      </c>
    </row>
    <row r="60" spans="1:11" x14ac:dyDescent="0.2">
      <c r="A60">
        <v>58</v>
      </c>
      <c r="B60">
        <v>3.2519999999999998</v>
      </c>
      <c r="C60">
        <v>3.5649999999999999</v>
      </c>
      <c r="E60">
        <v>58</v>
      </c>
      <c r="F60">
        <v>2.0550000000000002</v>
      </c>
      <c r="G60">
        <v>2.282</v>
      </c>
      <c r="J60">
        <v>5886</v>
      </c>
      <c r="K60">
        <v>5903</v>
      </c>
    </row>
    <row r="61" spans="1:11" x14ac:dyDescent="0.2">
      <c r="A61">
        <v>59</v>
      </c>
      <c r="B61">
        <v>3.1619999999999999</v>
      </c>
      <c r="C61">
        <v>3.464</v>
      </c>
      <c r="E61">
        <v>59</v>
      </c>
      <c r="F61">
        <v>2.0739999999999998</v>
      </c>
      <c r="G61">
        <v>2.3010000000000002</v>
      </c>
      <c r="J61">
        <v>5530</v>
      </c>
      <c r="K61">
        <v>5893</v>
      </c>
    </row>
    <row r="62" spans="1:11" x14ac:dyDescent="0.2">
      <c r="A62">
        <v>60</v>
      </c>
      <c r="B62">
        <v>3.1989999999999998</v>
      </c>
      <c r="C62">
        <v>3.5030000000000001</v>
      </c>
      <c r="E62">
        <v>60</v>
      </c>
      <c r="F62">
        <v>2.1230000000000002</v>
      </c>
      <c r="G62">
        <v>2.3660000000000001</v>
      </c>
      <c r="J62">
        <v>5737</v>
      </c>
      <c r="K62">
        <v>5813</v>
      </c>
    </row>
    <row r="63" spans="1:11" x14ac:dyDescent="0.2">
      <c r="A63">
        <v>61</v>
      </c>
      <c r="B63">
        <v>3.1139999999999999</v>
      </c>
      <c r="C63">
        <v>3.4169999999999998</v>
      </c>
      <c r="E63">
        <v>61</v>
      </c>
      <c r="F63">
        <v>2.032</v>
      </c>
      <c r="G63">
        <v>2.266</v>
      </c>
      <c r="J63">
        <v>5835</v>
      </c>
      <c r="K63">
        <v>5890</v>
      </c>
    </row>
    <row r="64" spans="1:11" x14ac:dyDescent="0.2">
      <c r="A64">
        <v>62</v>
      </c>
      <c r="B64">
        <v>3.38</v>
      </c>
      <c r="C64">
        <v>3.7210000000000001</v>
      </c>
      <c r="E64">
        <v>62</v>
      </c>
      <c r="F64">
        <v>2.04</v>
      </c>
      <c r="G64">
        <v>2.286</v>
      </c>
      <c r="J64">
        <v>5850</v>
      </c>
      <c r="K64">
        <v>5923</v>
      </c>
    </row>
    <row r="65" spans="1:11" x14ac:dyDescent="0.2">
      <c r="A65">
        <v>63</v>
      </c>
      <c r="B65">
        <v>3.1720000000000002</v>
      </c>
      <c r="C65">
        <v>3.484</v>
      </c>
      <c r="E65">
        <v>63</v>
      </c>
      <c r="F65">
        <v>2.004</v>
      </c>
      <c r="G65">
        <v>2.23</v>
      </c>
      <c r="J65">
        <v>5516</v>
      </c>
      <c r="K65">
        <v>5834</v>
      </c>
    </row>
    <row r="66" spans="1:11" x14ac:dyDescent="0.2">
      <c r="A66">
        <v>64</v>
      </c>
      <c r="B66">
        <v>3.1509999999999998</v>
      </c>
      <c r="C66">
        <v>3.448</v>
      </c>
      <c r="E66">
        <v>64</v>
      </c>
      <c r="F66">
        <v>2.069</v>
      </c>
      <c r="G66">
        <v>2.2970000000000002</v>
      </c>
      <c r="J66">
        <v>5395</v>
      </c>
      <c r="K66">
        <v>5908</v>
      </c>
    </row>
    <row r="67" spans="1:11" x14ac:dyDescent="0.2">
      <c r="A67">
        <v>65</v>
      </c>
      <c r="B67">
        <v>3.1949999999999998</v>
      </c>
      <c r="C67">
        <v>3.516</v>
      </c>
      <c r="E67">
        <v>65</v>
      </c>
      <c r="F67">
        <v>2.0859999999999999</v>
      </c>
      <c r="G67">
        <v>2.3290000000000002</v>
      </c>
      <c r="J67">
        <v>5635</v>
      </c>
      <c r="K67">
        <v>5820</v>
      </c>
    </row>
    <row r="68" spans="1:11" x14ac:dyDescent="0.2">
      <c r="A68">
        <v>66</v>
      </c>
      <c r="B68">
        <v>3.1230000000000002</v>
      </c>
      <c r="C68">
        <v>3.4430000000000001</v>
      </c>
      <c r="E68">
        <v>66</v>
      </c>
      <c r="F68">
        <v>2.0129999999999999</v>
      </c>
      <c r="G68">
        <v>2.2440000000000002</v>
      </c>
      <c r="J68">
        <v>5765</v>
      </c>
      <c r="K68">
        <v>5845</v>
      </c>
    </row>
    <row r="69" spans="1:11" x14ac:dyDescent="0.2">
      <c r="A69">
        <v>67</v>
      </c>
      <c r="B69">
        <v>3.2730000000000001</v>
      </c>
      <c r="C69">
        <v>3.5790000000000002</v>
      </c>
      <c r="E69">
        <v>67</v>
      </c>
      <c r="F69">
        <v>2.0649999999999999</v>
      </c>
      <c r="G69">
        <v>2.31</v>
      </c>
      <c r="J69">
        <v>5486</v>
      </c>
      <c r="K69">
        <v>5879</v>
      </c>
    </row>
    <row r="70" spans="1:11" x14ac:dyDescent="0.2">
      <c r="A70">
        <v>68</v>
      </c>
      <c r="B70">
        <v>3.1539999999999999</v>
      </c>
      <c r="C70">
        <v>3.4670000000000001</v>
      </c>
      <c r="E70">
        <v>68</v>
      </c>
      <c r="F70">
        <v>2.0920000000000001</v>
      </c>
      <c r="G70">
        <v>2.327</v>
      </c>
      <c r="J70">
        <v>5395</v>
      </c>
      <c r="K70">
        <v>5877</v>
      </c>
    </row>
    <row r="71" spans="1:11" x14ac:dyDescent="0.2">
      <c r="A71">
        <v>69</v>
      </c>
      <c r="B71">
        <v>3.1869999999999998</v>
      </c>
      <c r="C71">
        <v>3.4889999999999999</v>
      </c>
      <c r="E71">
        <v>69</v>
      </c>
      <c r="F71">
        <v>2.0369999999999999</v>
      </c>
      <c r="G71">
        <v>2.2599999999999998</v>
      </c>
      <c r="J71">
        <v>5620</v>
      </c>
      <c r="K71">
        <v>5892</v>
      </c>
    </row>
    <row r="72" spans="1:11" x14ac:dyDescent="0.2">
      <c r="A72">
        <v>70</v>
      </c>
      <c r="B72">
        <v>3.1970000000000001</v>
      </c>
      <c r="C72">
        <v>3.516</v>
      </c>
      <c r="E72">
        <v>70</v>
      </c>
      <c r="F72">
        <v>2.0640000000000001</v>
      </c>
      <c r="G72">
        <v>2.3029999999999999</v>
      </c>
      <c r="J72">
        <v>5829</v>
      </c>
      <c r="K72">
        <v>5897</v>
      </c>
    </row>
    <row r="73" spans="1:11" x14ac:dyDescent="0.2">
      <c r="A73">
        <v>71</v>
      </c>
      <c r="B73">
        <v>3.226</v>
      </c>
      <c r="C73">
        <v>3.516</v>
      </c>
      <c r="E73">
        <v>71</v>
      </c>
      <c r="F73">
        <v>2.0539999999999998</v>
      </c>
      <c r="G73">
        <v>2.3010000000000002</v>
      </c>
      <c r="J73">
        <v>5634</v>
      </c>
      <c r="K73">
        <v>5945</v>
      </c>
    </row>
    <row r="74" spans="1:11" x14ac:dyDescent="0.2">
      <c r="A74">
        <v>72</v>
      </c>
      <c r="B74">
        <v>3.1080000000000001</v>
      </c>
      <c r="C74">
        <v>3.3940000000000001</v>
      </c>
      <c r="E74">
        <v>72</v>
      </c>
      <c r="F74">
        <v>2.044</v>
      </c>
      <c r="G74">
        <v>2.2869999999999999</v>
      </c>
      <c r="J74">
        <v>4279</v>
      </c>
      <c r="K74">
        <v>5746</v>
      </c>
    </row>
    <row r="75" spans="1:11" x14ac:dyDescent="0.2">
      <c r="A75">
        <v>73</v>
      </c>
      <c r="B75">
        <v>3.1629999999999998</v>
      </c>
      <c r="C75">
        <v>3.4860000000000002</v>
      </c>
      <c r="E75">
        <v>73</v>
      </c>
      <c r="F75">
        <v>2.0350000000000001</v>
      </c>
      <c r="G75">
        <v>2.2589999999999999</v>
      </c>
      <c r="J75">
        <v>5231</v>
      </c>
      <c r="K75">
        <v>5862</v>
      </c>
    </row>
    <row r="76" spans="1:11" x14ac:dyDescent="0.2">
      <c r="A76">
        <v>74</v>
      </c>
      <c r="B76">
        <v>3.1419999999999999</v>
      </c>
      <c r="C76">
        <v>3.4329999999999998</v>
      </c>
      <c r="E76">
        <v>74</v>
      </c>
      <c r="F76">
        <v>2.052</v>
      </c>
      <c r="G76">
        <v>2.2829999999999999</v>
      </c>
      <c r="J76">
        <v>5673</v>
      </c>
      <c r="K76">
        <v>5506</v>
      </c>
    </row>
    <row r="77" spans="1:11" x14ac:dyDescent="0.2">
      <c r="A77">
        <v>75</v>
      </c>
      <c r="B77">
        <v>3.1909999999999998</v>
      </c>
      <c r="C77">
        <v>3.472</v>
      </c>
      <c r="E77">
        <v>75</v>
      </c>
      <c r="F77">
        <v>2.0259999999999998</v>
      </c>
      <c r="G77">
        <v>2.2509999999999999</v>
      </c>
      <c r="J77">
        <v>5741</v>
      </c>
      <c r="K77">
        <v>5287</v>
      </c>
    </row>
    <row r="78" spans="1:11" x14ac:dyDescent="0.2">
      <c r="A78">
        <v>76</v>
      </c>
      <c r="B78">
        <v>3.2250000000000001</v>
      </c>
      <c r="C78">
        <v>3.5289999999999999</v>
      </c>
      <c r="E78">
        <v>76</v>
      </c>
      <c r="F78">
        <v>2.1059999999999999</v>
      </c>
      <c r="G78">
        <v>2.3479999999999999</v>
      </c>
      <c r="J78">
        <v>5429</v>
      </c>
      <c r="K78">
        <v>5056</v>
      </c>
    </row>
    <row r="79" spans="1:11" x14ac:dyDescent="0.2">
      <c r="A79">
        <v>77</v>
      </c>
      <c r="B79">
        <v>3.1589999999999998</v>
      </c>
      <c r="C79">
        <v>3.4590000000000001</v>
      </c>
      <c r="E79">
        <v>77</v>
      </c>
      <c r="F79">
        <v>2.1360000000000001</v>
      </c>
      <c r="G79">
        <v>2.39</v>
      </c>
      <c r="J79">
        <v>5794</v>
      </c>
      <c r="K79">
        <v>5678</v>
      </c>
    </row>
    <row r="80" spans="1:11" x14ac:dyDescent="0.2">
      <c r="A80">
        <v>78</v>
      </c>
      <c r="B80">
        <v>3.1480000000000001</v>
      </c>
      <c r="C80">
        <v>3.452</v>
      </c>
      <c r="E80">
        <v>78</v>
      </c>
      <c r="F80">
        <v>2.02</v>
      </c>
      <c r="G80">
        <v>2.25</v>
      </c>
      <c r="J80">
        <v>5396</v>
      </c>
      <c r="K80">
        <v>5653</v>
      </c>
    </row>
    <row r="81" spans="1:11" x14ac:dyDescent="0.2">
      <c r="A81">
        <v>79</v>
      </c>
      <c r="B81">
        <v>3.177</v>
      </c>
      <c r="C81">
        <v>3.4769999999999999</v>
      </c>
      <c r="E81">
        <v>79</v>
      </c>
      <c r="F81">
        <v>2.056</v>
      </c>
      <c r="G81">
        <v>2.2970000000000002</v>
      </c>
      <c r="J81">
        <v>5811</v>
      </c>
      <c r="K81">
        <v>5380</v>
      </c>
    </row>
    <row r="82" spans="1:11" x14ac:dyDescent="0.2">
      <c r="A82">
        <v>80</v>
      </c>
      <c r="B82">
        <v>3.1629999999999998</v>
      </c>
      <c r="C82">
        <v>3.47</v>
      </c>
      <c r="E82">
        <v>80</v>
      </c>
      <c r="F82">
        <v>2.0659999999999998</v>
      </c>
      <c r="G82">
        <v>2.3330000000000002</v>
      </c>
      <c r="J82">
        <v>5574</v>
      </c>
      <c r="K82">
        <v>5784</v>
      </c>
    </row>
    <row r="83" spans="1:11" x14ac:dyDescent="0.2">
      <c r="A83">
        <v>81</v>
      </c>
      <c r="B83">
        <v>3.1309999999999998</v>
      </c>
      <c r="C83">
        <v>3.448</v>
      </c>
      <c r="E83">
        <v>81</v>
      </c>
      <c r="F83">
        <v>2.048</v>
      </c>
      <c r="G83">
        <v>2.2690000000000001</v>
      </c>
      <c r="J83">
        <v>5923</v>
      </c>
      <c r="K83">
        <v>5233</v>
      </c>
    </row>
    <row r="84" spans="1:11" x14ac:dyDescent="0.2">
      <c r="A84">
        <v>82</v>
      </c>
      <c r="B84">
        <v>3.2080000000000002</v>
      </c>
      <c r="C84">
        <v>3.51</v>
      </c>
      <c r="E84">
        <v>82</v>
      </c>
      <c r="F84">
        <v>2.044</v>
      </c>
      <c r="G84">
        <v>2.3079999999999998</v>
      </c>
      <c r="J84">
        <v>5682</v>
      </c>
      <c r="K84">
        <v>5490</v>
      </c>
    </row>
    <row r="85" spans="1:11" x14ac:dyDescent="0.2">
      <c r="A85">
        <v>83</v>
      </c>
      <c r="B85">
        <v>3.1819999999999999</v>
      </c>
      <c r="C85">
        <v>3.4860000000000002</v>
      </c>
      <c r="E85">
        <v>83</v>
      </c>
      <c r="F85">
        <v>2.0379999999999998</v>
      </c>
      <c r="G85">
        <v>2.2669999999999999</v>
      </c>
      <c r="J85">
        <v>5554</v>
      </c>
      <c r="K85">
        <v>5729</v>
      </c>
    </row>
    <row r="86" spans="1:11" x14ac:dyDescent="0.2">
      <c r="A86">
        <v>84</v>
      </c>
      <c r="B86">
        <v>3.1509999999999998</v>
      </c>
      <c r="C86">
        <v>3.4609999999999999</v>
      </c>
      <c r="E86">
        <v>84</v>
      </c>
      <c r="F86">
        <v>2.0409999999999999</v>
      </c>
      <c r="G86">
        <v>2.2679999999999998</v>
      </c>
      <c r="J86">
        <v>5604</v>
      </c>
      <c r="K86">
        <v>5309</v>
      </c>
    </row>
    <row r="87" spans="1:11" x14ac:dyDescent="0.2">
      <c r="A87">
        <v>85</v>
      </c>
      <c r="B87">
        <v>3.1869999999999998</v>
      </c>
      <c r="C87">
        <v>3.476</v>
      </c>
      <c r="E87">
        <v>85</v>
      </c>
      <c r="F87">
        <v>2.1139999999999999</v>
      </c>
      <c r="G87">
        <v>2.339</v>
      </c>
      <c r="J87">
        <v>5740</v>
      </c>
      <c r="K87">
        <v>5526</v>
      </c>
    </row>
    <row r="88" spans="1:11" x14ac:dyDescent="0.2">
      <c r="A88">
        <v>86</v>
      </c>
      <c r="B88">
        <v>3.1949999999999998</v>
      </c>
      <c r="C88">
        <v>3.53</v>
      </c>
      <c r="E88">
        <v>86</v>
      </c>
      <c r="F88">
        <v>2.0840000000000001</v>
      </c>
      <c r="G88">
        <v>2.3319999999999999</v>
      </c>
      <c r="J88">
        <v>5851</v>
      </c>
      <c r="K88">
        <v>5777</v>
      </c>
    </row>
    <row r="89" spans="1:11" x14ac:dyDescent="0.2">
      <c r="A89">
        <v>87</v>
      </c>
      <c r="B89">
        <v>3.1459999999999999</v>
      </c>
      <c r="C89">
        <v>3.4460000000000002</v>
      </c>
      <c r="E89">
        <v>87</v>
      </c>
      <c r="F89">
        <v>2.153</v>
      </c>
      <c r="G89">
        <v>2.3919999999999999</v>
      </c>
      <c r="J89">
        <v>5803</v>
      </c>
      <c r="K89">
        <v>5665</v>
      </c>
    </row>
    <row r="90" spans="1:11" x14ac:dyDescent="0.2">
      <c r="A90">
        <v>88</v>
      </c>
      <c r="B90">
        <v>3.1789999999999998</v>
      </c>
      <c r="C90">
        <v>3.4860000000000002</v>
      </c>
      <c r="E90">
        <v>88</v>
      </c>
      <c r="F90">
        <v>2.0710000000000002</v>
      </c>
      <c r="G90">
        <v>2.3010000000000002</v>
      </c>
      <c r="J90">
        <v>5588</v>
      </c>
      <c r="K90">
        <v>5537</v>
      </c>
    </row>
    <row r="91" spans="1:11" x14ac:dyDescent="0.2">
      <c r="A91">
        <v>89</v>
      </c>
      <c r="B91">
        <v>3.1680000000000001</v>
      </c>
      <c r="C91">
        <v>3.4910000000000001</v>
      </c>
      <c r="E91">
        <v>89</v>
      </c>
      <c r="F91">
        <v>2.028</v>
      </c>
      <c r="G91">
        <v>2.258</v>
      </c>
      <c r="J91">
        <v>5454</v>
      </c>
      <c r="K91">
        <v>5544</v>
      </c>
    </row>
    <row r="92" spans="1:11" x14ac:dyDescent="0.2">
      <c r="A92">
        <v>90</v>
      </c>
      <c r="B92">
        <v>3.1930000000000001</v>
      </c>
      <c r="C92">
        <v>3.5139999999999998</v>
      </c>
      <c r="E92">
        <v>90</v>
      </c>
      <c r="F92">
        <v>2.0870000000000002</v>
      </c>
      <c r="G92">
        <v>2.3159999999999998</v>
      </c>
      <c r="J92">
        <v>5811</v>
      </c>
      <c r="K92">
        <v>5497</v>
      </c>
    </row>
    <row r="93" spans="1:11" x14ac:dyDescent="0.2">
      <c r="A93">
        <v>91</v>
      </c>
      <c r="B93">
        <v>3.4129999999999998</v>
      </c>
      <c r="C93">
        <v>3.7410000000000001</v>
      </c>
      <c r="E93">
        <v>91</v>
      </c>
      <c r="F93">
        <v>2.073</v>
      </c>
      <c r="G93">
        <v>2.3029999999999999</v>
      </c>
      <c r="J93">
        <v>5534</v>
      </c>
      <c r="K93">
        <v>5861</v>
      </c>
    </row>
    <row r="94" spans="1:11" x14ac:dyDescent="0.2">
      <c r="A94">
        <v>92</v>
      </c>
      <c r="B94">
        <v>3.169</v>
      </c>
      <c r="C94">
        <v>3.4769999999999999</v>
      </c>
      <c r="E94">
        <v>92</v>
      </c>
      <c r="F94">
        <v>2.0459999999999998</v>
      </c>
      <c r="G94">
        <v>2.2669999999999999</v>
      </c>
      <c r="J94">
        <v>5788</v>
      </c>
      <c r="K94">
        <v>5866</v>
      </c>
    </row>
    <row r="95" spans="1:11" x14ac:dyDescent="0.2">
      <c r="A95">
        <v>93</v>
      </c>
      <c r="B95">
        <v>3.1880000000000002</v>
      </c>
      <c r="C95">
        <v>3.4929999999999999</v>
      </c>
      <c r="E95">
        <v>93</v>
      </c>
      <c r="F95">
        <v>2.117</v>
      </c>
      <c r="G95">
        <v>2.3460000000000001</v>
      </c>
      <c r="J95">
        <v>5465</v>
      </c>
      <c r="K95">
        <v>5590</v>
      </c>
    </row>
    <row r="96" spans="1:11" x14ac:dyDescent="0.2">
      <c r="A96">
        <v>94</v>
      </c>
      <c r="B96">
        <v>3.1019999999999999</v>
      </c>
      <c r="C96">
        <v>3.4239999999999999</v>
      </c>
      <c r="E96">
        <v>94</v>
      </c>
      <c r="F96">
        <v>2.048</v>
      </c>
      <c r="G96">
        <v>2.2970000000000002</v>
      </c>
      <c r="J96">
        <v>5285</v>
      </c>
      <c r="K96">
        <v>5614</v>
      </c>
    </row>
    <row r="97" spans="1:11" x14ac:dyDescent="0.2">
      <c r="A97">
        <v>95</v>
      </c>
      <c r="B97">
        <v>3.1669999999999998</v>
      </c>
      <c r="C97">
        <v>3.4729999999999999</v>
      </c>
      <c r="E97">
        <v>95</v>
      </c>
      <c r="F97">
        <v>2.0539999999999998</v>
      </c>
      <c r="G97">
        <v>2.282</v>
      </c>
      <c r="J97">
        <v>5540</v>
      </c>
      <c r="K97">
        <v>5679</v>
      </c>
    </row>
    <row r="98" spans="1:11" x14ac:dyDescent="0.2">
      <c r="A98">
        <v>96</v>
      </c>
      <c r="B98">
        <v>3.2040000000000002</v>
      </c>
      <c r="C98">
        <v>3.5209999999999999</v>
      </c>
      <c r="E98">
        <v>96</v>
      </c>
      <c r="F98">
        <v>2.0510000000000002</v>
      </c>
      <c r="G98">
        <v>2.2799999999999998</v>
      </c>
      <c r="J98">
        <v>5602</v>
      </c>
      <c r="K98">
        <v>5588</v>
      </c>
    </row>
    <row r="99" spans="1:11" x14ac:dyDescent="0.2">
      <c r="A99">
        <v>97</v>
      </c>
      <c r="B99">
        <v>3.161</v>
      </c>
      <c r="C99">
        <v>3.4489999999999998</v>
      </c>
      <c r="E99">
        <v>97</v>
      </c>
      <c r="F99">
        <v>2.0249999999999999</v>
      </c>
      <c r="G99">
        <v>2.258</v>
      </c>
      <c r="J99">
        <v>5788</v>
      </c>
      <c r="K99">
        <v>5911</v>
      </c>
    </row>
    <row r="100" spans="1:11" x14ac:dyDescent="0.2">
      <c r="A100">
        <v>98</v>
      </c>
      <c r="B100">
        <v>3.153</v>
      </c>
      <c r="C100">
        <v>3.4660000000000002</v>
      </c>
      <c r="E100">
        <v>98</v>
      </c>
      <c r="F100">
        <v>2.0449999999999999</v>
      </c>
      <c r="G100">
        <v>2.2869999999999999</v>
      </c>
      <c r="J100">
        <v>5718</v>
      </c>
      <c r="K100">
        <v>5840</v>
      </c>
    </row>
    <row r="101" spans="1:11" x14ac:dyDescent="0.2">
      <c r="A101">
        <v>99</v>
      </c>
      <c r="B101">
        <v>3.2719999999999998</v>
      </c>
      <c r="C101">
        <v>3.61</v>
      </c>
      <c r="E101">
        <v>99</v>
      </c>
      <c r="F101">
        <v>2.0510000000000002</v>
      </c>
      <c r="G101">
        <v>2.2759999999999998</v>
      </c>
      <c r="J101">
        <v>5306</v>
      </c>
      <c r="K101">
        <v>5712</v>
      </c>
    </row>
    <row r="102" spans="1:11" x14ac:dyDescent="0.2">
      <c r="A102">
        <v>100</v>
      </c>
      <c r="B102">
        <v>3.1019999999999999</v>
      </c>
      <c r="C102">
        <v>3.4060000000000001</v>
      </c>
      <c r="E102">
        <v>100</v>
      </c>
      <c r="F102">
        <v>2.0720000000000001</v>
      </c>
      <c r="G102">
        <v>2.302</v>
      </c>
      <c r="J102">
        <v>5464</v>
      </c>
      <c r="K102">
        <v>5624</v>
      </c>
    </row>
    <row r="107" spans="1:11" x14ac:dyDescent="0.2">
      <c r="A107" t="s">
        <v>3</v>
      </c>
      <c r="B107">
        <f>AVERAGE(B3:B106)</f>
        <v>3.1915899999999993</v>
      </c>
      <c r="C107">
        <f>AVERAGE(C3:C106)</f>
        <v>3.497069999999999</v>
      </c>
      <c r="E107" t="s">
        <v>3</v>
      </c>
      <c r="F107">
        <f t="shared" ref="F107:G107" si="0">AVERAGE(F3:F106)</f>
        <v>2.0787499999999999</v>
      </c>
      <c r="G107">
        <f t="shared" si="0"/>
        <v>2.3148499999999999</v>
      </c>
      <c r="I107" t="s">
        <v>3</v>
      </c>
      <c r="J107">
        <f>AVERAGE(J3:J22)</f>
        <v>5463.3</v>
      </c>
      <c r="K107">
        <f>AVERAGE(K3:K22)</f>
        <v>5571.6</v>
      </c>
    </row>
    <row r="108" spans="1:11" x14ac:dyDescent="0.2">
      <c r="A108" t="s">
        <v>4</v>
      </c>
      <c r="B108">
        <f>MEDIAN(B3:B106)</f>
        <v>3.1749999999999998</v>
      </c>
      <c r="C108">
        <f>MEDIAN(C3:C106)</f>
        <v>3.4769999999999999</v>
      </c>
      <c r="E108" t="s">
        <v>4</v>
      </c>
      <c r="F108">
        <f t="shared" ref="F108:G108" si="1">MEDIAN(F3:F106)</f>
        <v>2.0545</v>
      </c>
      <c r="G108">
        <f t="shared" si="1"/>
        <v>2.294</v>
      </c>
      <c r="I108" t="s">
        <v>4</v>
      </c>
      <c r="J108">
        <f>MEDIAN(J3:J22)</f>
        <v>5419.5</v>
      </c>
      <c r="K108">
        <f>MEDIAN(K3:K22)</f>
        <v>5667.5</v>
      </c>
    </row>
  </sheetData>
  <mergeCells count="2">
    <mergeCell ref="B1:C1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leyden-playground extracted</vt:lpstr>
      <vt:lpstr>leyden-playground fat-jar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Dinant, Gabriel-MIGROSONLINE</dc:creator>
  <cp:lastModifiedBy>Dinant, Gabriel-MIGROSONLINE</cp:lastModifiedBy>
  <dcterms:created xsi:type="dcterms:W3CDTF">2025-10-31T12:26:30Z</dcterms:created>
  <dcterms:modified xsi:type="dcterms:W3CDTF">2025-11-22T17:08:01Z</dcterms:modified>
</cp:coreProperties>
</file>